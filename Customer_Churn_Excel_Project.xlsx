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AU1PEPF000002F0\EXCELCNV\a0c0d509-1dea-4881-804c-4713d51ddddd\"/>
    </mc:Choice>
  </mc:AlternateContent>
  <xr:revisionPtr revIDLastSave="229" documentId="8_{6A37F104-3155-4D47-A0C3-966645256FCB}" xr6:coauthVersionLast="47" xr6:coauthVersionMax="47" xr10:uidLastSave="{4F5D39DF-C4A0-4944-BFB1-6E6C582ECA27}"/>
  <bookViews>
    <workbookView xWindow="-60" yWindow="-60" windowWidth="15480" windowHeight="11640" firstSheet="2" activeTab="3" xr2:uid="{00000000-000D-0000-FFFF-FFFF00000000}"/>
  </bookViews>
  <sheets>
    <sheet name="Customer_Data" sheetId="1" r:id="rId1"/>
    <sheet name="KPI_analysis" sheetId="2" r:id="rId2"/>
    <sheet name="Sheet1" sheetId="3" r:id="rId3"/>
    <sheet name="Dashboard" sheetId="4" r:id="rId4"/>
  </sheets>
  <definedNames>
    <definedName name="_xlnm._FilterDatabase" localSheetId="0" hidden="1">Customer_Data!$A$1:$L$1001</definedName>
  </definedNames>
  <calcPr calcId="191028"/>
  <pivotCaches>
    <pivotCache cacheId="307" r:id="rId5"/>
    <pivotCache cacheId="30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3" i="1"/>
  <c r="M4" i="1"/>
  <c r="M5" i="1"/>
  <c r="M6" i="1"/>
  <c r="M7" i="1"/>
  <c r="M8" i="1"/>
  <c r="M9" i="1"/>
  <c r="M10" i="1"/>
  <c r="M11" i="1"/>
  <c r="M12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H3" i="2"/>
  <c r="H4" i="2"/>
  <c r="H2" i="2"/>
  <c r="E3" i="2"/>
  <c r="E4" i="2"/>
  <c r="F3" i="2"/>
  <c r="F4" i="2"/>
  <c r="F2" i="2"/>
  <c r="E2" i="2"/>
  <c r="B6" i="2"/>
  <c r="B5" i="2"/>
  <c r="B3" i="2"/>
  <c r="B2" i="2"/>
  <c r="B4" i="2" l="1"/>
</calcChain>
</file>

<file path=xl/sharedStrings.xml><?xml version="1.0" encoding="utf-8"?>
<sst xmlns="http://schemas.openxmlformats.org/spreadsheetml/2006/main" count="9082" uniqueCount="1048">
  <si>
    <t>Customer_ID</t>
  </si>
  <si>
    <t>Gender</t>
  </si>
  <si>
    <t>Senior_Citizen</t>
  </si>
  <si>
    <t>Partner</t>
  </si>
  <si>
    <t>Dependents</t>
  </si>
  <si>
    <t>Tenure_Months</t>
  </si>
  <si>
    <t>Contract</t>
  </si>
  <si>
    <t>Internet_Service</t>
  </si>
  <si>
    <t>Payment_Method</t>
  </si>
  <si>
    <t>Monthly_Charges</t>
  </si>
  <si>
    <t>Total_Charges</t>
  </si>
  <si>
    <t>Churn</t>
  </si>
  <si>
    <t>Tenure Group</t>
  </si>
  <si>
    <t>CUST0001</t>
  </si>
  <si>
    <t>Male</t>
  </si>
  <si>
    <t>No</t>
  </si>
  <si>
    <t>Yes</t>
  </si>
  <si>
    <t>One year</t>
  </si>
  <si>
    <t>Fiber optic</t>
  </si>
  <si>
    <t>Mailed check</t>
  </si>
  <si>
    <t>CUST0002</t>
  </si>
  <si>
    <t>Female</t>
  </si>
  <si>
    <t>Month-to-month</t>
  </si>
  <si>
    <t>Electronic check</t>
  </si>
  <si>
    <t>CUST0003</t>
  </si>
  <si>
    <t>Two year</t>
  </si>
  <si>
    <t>Bank transfer</t>
  </si>
  <si>
    <t>CUST0004</t>
  </si>
  <si>
    <t>CUST0005</t>
  </si>
  <si>
    <t>CUST0006</t>
  </si>
  <si>
    <t>CUST0007</t>
  </si>
  <si>
    <t>CUST0008</t>
  </si>
  <si>
    <t>CUST0009</t>
  </si>
  <si>
    <t>CUST0010</t>
  </si>
  <si>
    <t>DSL</t>
  </si>
  <si>
    <t>CUST0011</t>
  </si>
  <si>
    <t>Credit card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</si>
  <si>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</si>
  <si>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</si>
  <si>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</si>
  <si>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</si>
  <si>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</si>
  <si>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</si>
  <si>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</si>
  <si>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</si>
  <si>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</si>
  <si>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</si>
  <si>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</si>
  <si>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</si>
  <si>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</si>
  <si>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</si>
  <si>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</si>
  <si>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</si>
  <si>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</si>
  <si>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</si>
  <si>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</si>
  <si>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</si>
  <si>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</si>
  <si>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</si>
  <si>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</si>
  <si>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</si>
  <si>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</si>
  <si>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</si>
  <si>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</si>
  <si>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</si>
  <si>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</si>
  <si>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</si>
  <si>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</si>
  <si>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</si>
  <si>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</si>
  <si>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</si>
  <si>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</si>
  <si>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</si>
  <si>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</si>
  <si>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</si>
  <si>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</si>
  <si>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</si>
  <si>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</si>
  <si>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</si>
  <si>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</si>
  <si>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</si>
  <si>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</si>
  <si>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</si>
  <si>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</si>
  <si>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</si>
  <si>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</si>
  <si>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</si>
  <si>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</si>
  <si>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</si>
  <si>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</si>
  <si>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</si>
  <si>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</si>
  <si>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</si>
  <si>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</si>
  <si>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</si>
  <si>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</si>
  <si>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</si>
  <si>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</si>
  <si>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</si>
  <si>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</si>
  <si>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</si>
  <si>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</si>
  <si>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</si>
  <si>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</si>
  <si>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</si>
  <si>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</si>
  <si>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</si>
  <si>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</si>
  <si>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</si>
  <si>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</si>
  <si>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</si>
  <si>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</si>
  <si>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</si>
  <si>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</si>
  <si>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</si>
  <si>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</si>
  <si>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</si>
  <si>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</si>
  <si>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</si>
  <si>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</si>
  <si>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</si>
  <si>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</si>
  <si>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</si>
  <si>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</si>
  <si>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</si>
  <si>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</si>
  <si>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</si>
  <si>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</si>
  <si>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</si>
  <si>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</si>
  <si>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</si>
  <si>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</si>
  <si>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</si>
  <si>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</si>
  <si>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</si>
  <si>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</si>
  <si>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</si>
  <si>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</si>
  <si>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</si>
  <si>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</si>
  <si>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</si>
  <si>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</si>
  <si>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</si>
  <si>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</si>
  <si>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</si>
  <si>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</si>
  <si>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</si>
  <si>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</si>
  <si>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</si>
  <si>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</si>
  <si>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</si>
  <si>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</si>
  <si>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</si>
  <si>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</si>
  <si>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</si>
  <si>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</si>
  <si>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</si>
  <si>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</si>
  <si>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</si>
  <si>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</si>
  <si>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</si>
  <si>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</si>
  <si>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</si>
  <si>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</si>
  <si>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</si>
  <si>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</si>
  <si>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</si>
  <si>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</si>
  <si>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</si>
  <si>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</si>
  <si>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</si>
  <si>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</si>
  <si>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</si>
  <si>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</si>
  <si>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</si>
  <si>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</si>
  <si>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</si>
  <si>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</si>
  <si>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</si>
  <si>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</si>
  <si>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</si>
  <si>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</si>
  <si>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</si>
  <si>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</si>
  <si>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</si>
  <si>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</si>
  <si>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</si>
  <si>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</si>
  <si>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</si>
  <si>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</si>
  <si>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</si>
  <si>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</si>
  <si>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</si>
  <si>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</si>
  <si>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</si>
  <si>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</si>
  <si>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</si>
  <si>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</si>
  <si>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</si>
  <si>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</si>
  <si>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</si>
  <si>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</si>
  <si>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</si>
  <si>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</si>
  <si>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</si>
  <si>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</si>
  <si>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</si>
  <si>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</si>
  <si>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</si>
  <si>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</si>
  <si>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</si>
  <si>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</si>
  <si>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</si>
  <si>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</si>
  <si>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</si>
  <si>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</si>
  <si>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</si>
  <si>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</si>
  <si>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</si>
  <si>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</si>
  <si>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</si>
  <si>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</si>
  <si>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</si>
  <si>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</si>
  <si>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</si>
  <si>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</si>
  <si>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</si>
  <si>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</si>
  <si>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</si>
  <si>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</si>
  <si>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</si>
  <si>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</si>
  <si>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</si>
  <si>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</si>
  <si>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</si>
  <si>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</si>
  <si>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</si>
  <si>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</si>
  <si>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</si>
  <si>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</si>
  <si>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</si>
  <si>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</si>
  <si>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</si>
  <si>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</si>
  <si>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</si>
  <si>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</si>
  <si>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</si>
  <si>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</si>
  <si>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</si>
  <si>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</si>
  <si>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</si>
  <si>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</si>
  <si>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</si>
  <si>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</si>
  <si>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</si>
  <si>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</si>
  <si>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</si>
  <si>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</si>
  <si>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</si>
  <si>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</si>
  <si>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</si>
  <si>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</si>
  <si>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</si>
  <si>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</si>
  <si>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</si>
  <si>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</si>
  <si>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</si>
  <si>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</si>
  <si>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</si>
  <si>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</si>
  <si>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</si>
  <si>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</si>
  <si>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</si>
  <si>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</si>
  <si>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</si>
  <si>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</si>
  <si>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</si>
  <si>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</si>
  <si>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</si>
  <si>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</si>
  <si>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</si>
  <si>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</si>
  <si>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</si>
  <si>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</si>
  <si>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</si>
  <si>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</si>
  <si>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</si>
  <si>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</si>
  <si>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</si>
  <si>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</si>
  <si>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</si>
  <si>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</si>
  <si>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</si>
  <si>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</si>
  <si>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</si>
  <si>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</si>
  <si>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</si>
  <si>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</si>
  <si>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</si>
  <si>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</si>
  <si>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</si>
  <si>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</si>
  <si>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</si>
  <si>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</si>
  <si>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</si>
  <si>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</si>
  <si>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</si>
  <si>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</si>
  <si>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</si>
  <si>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</si>
  <si>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</si>
  <si>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</si>
  <si>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</si>
  <si>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</si>
  <si>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</si>
  <si>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</si>
  <si>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</si>
  <si>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</si>
  <si>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</si>
  <si>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</si>
  <si>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</si>
  <si>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</si>
  <si>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</si>
  <si>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</si>
  <si>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</si>
  <si>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</si>
  <si>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</si>
  <si>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</si>
  <si>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</si>
  <si>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</si>
  <si>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</si>
  <si>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</si>
  <si>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</si>
  <si>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</si>
  <si>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</si>
  <si>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</si>
  <si>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</si>
  <si>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</si>
  <si>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</si>
  <si>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</si>
  <si>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</si>
  <si>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</si>
  <si>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</si>
  <si>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</si>
  <si>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</si>
  <si>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</si>
  <si>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</si>
  <si>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</si>
  <si>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</si>
  <si>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</si>
  <si>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</si>
  <si>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</si>
  <si>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</si>
  <si>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</si>
  <si>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</si>
  <si>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</si>
  <si>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</si>
  <si>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</si>
  <si>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</si>
  <si>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</si>
  <si>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</si>
  <si>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</si>
  <si>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</si>
  <si>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</si>
  <si>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</si>
  <si>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</si>
  <si>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</si>
  <si>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</si>
  <si>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</si>
  <si>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</si>
  <si>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</si>
  <si>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</si>
  <si>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</si>
  <si>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</si>
  <si>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</si>
  <si>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</si>
  <si>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</si>
  <si>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</si>
  <si>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</si>
  <si>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</si>
  <si>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</si>
  <si>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</si>
  <si>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</si>
  <si>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</si>
  <si>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</si>
  <si>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</si>
  <si>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</si>
  <si>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</si>
  <si>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</si>
  <si>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</si>
  <si>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</si>
  <si>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</si>
  <si>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</si>
  <si>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</si>
  <si>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</si>
  <si>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</si>
  <si>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</si>
  <si>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</si>
  <si>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</si>
  <si>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</si>
  <si>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</si>
  <si>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</si>
  <si>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</si>
  <si>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</si>
  <si>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</si>
  <si>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</si>
  <si>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</si>
  <si>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</si>
  <si>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</si>
  <si>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</si>
  <si>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</si>
  <si>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</si>
  <si>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</si>
  <si>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</si>
  <si>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</si>
  <si>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</si>
  <si>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</si>
  <si>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</si>
  <si>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</si>
  <si>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</si>
  <si>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</si>
  <si>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</si>
  <si>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</si>
  <si>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</si>
  <si>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</si>
  <si>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</si>
  <si>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</si>
  <si>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</si>
  <si>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</si>
  <si>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</si>
  <si>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</si>
  <si>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</si>
  <si>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</si>
  <si>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</si>
  <si>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</si>
  <si>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</si>
  <si>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</si>
  <si>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</si>
  <si>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</si>
  <si>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</si>
  <si>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</si>
  <si>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</si>
  <si>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</si>
  <si>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</si>
  <si>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</si>
  <si>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</si>
  <si>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</si>
  <si>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</si>
  <si>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</si>
  <si>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</si>
  <si>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</si>
  <si>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</si>
  <si>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</si>
  <si>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</si>
  <si>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</si>
  <si>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</si>
  <si>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</si>
  <si>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</si>
  <si>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</si>
  <si>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</si>
  <si>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</si>
  <si>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</si>
  <si>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</si>
  <si>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</si>
  <si>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</si>
  <si>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</si>
  <si>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</si>
  <si>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</si>
  <si>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</si>
  <si>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</si>
  <si>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</si>
  <si>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</si>
  <si>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</si>
  <si>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</si>
  <si>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</si>
  <si>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</si>
  <si>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</si>
  <si>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</si>
  <si>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</si>
  <si>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</si>
  <si>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</si>
  <si>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</si>
  <si>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</si>
  <si>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</si>
  <si>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</si>
  <si>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</si>
  <si>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</si>
  <si>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</si>
  <si>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</si>
  <si>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</si>
  <si>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</si>
  <si>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</si>
  <si>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</si>
  <si>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</si>
  <si>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</si>
  <si>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</si>
  <si>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</si>
  <si>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</si>
  <si>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</si>
  <si>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</si>
  <si>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</si>
  <si>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</si>
  <si>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</si>
  <si>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</si>
  <si>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</si>
  <si>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</si>
  <si>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</si>
  <si>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</si>
  <si>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</si>
  <si>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</si>
  <si>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</si>
  <si>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</si>
  <si>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</si>
  <si>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</si>
  <si>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</si>
  <si>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</si>
  <si>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</si>
  <si>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</si>
  <si>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</si>
  <si>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</si>
  <si>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</si>
  <si>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</si>
  <si>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</si>
  <si>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</si>
  <si>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</si>
  <si>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</si>
  <si>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</si>
  <si>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</si>
  <si>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</si>
  <si>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</si>
  <si>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</si>
  <si>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</si>
  <si>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</si>
  <si>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</si>
  <si>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</si>
  <si>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</si>
  <si>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</si>
  <si>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</si>
  <si>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</si>
  <si>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</si>
  <si>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</si>
  <si>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</si>
  <si>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</si>
  <si>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</si>
  <si>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</si>
  <si>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</si>
  <si>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</si>
  <si>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</si>
  <si>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</si>
  <si>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</si>
  <si>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</si>
  <si>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</si>
  <si>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</si>
  <si>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</si>
  <si>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</si>
  <si>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</si>
  <si>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</si>
  <si>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</si>
  <si>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</si>
  <si>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</si>
  <si>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</si>
  <si>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</si>
  <si>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</si>
  <si>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</si>
  <si>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</si>
  <si>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</si>
  <si>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</si>
  <si>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</si>
  <si>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</si>
  <si>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</si>
  <si>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</si>
  <si>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</si>
  <si>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</si>
  <si>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</si>
  <si>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</si>
  <si>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</si>
  <si>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</si>
  <si>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</si>
  <si>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</si>
  <si>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</si>
  <si>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</si>
  <si>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</si>
  <si>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</si>
  <si>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</si>
  <si>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</si>
  <si>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</si>
  <si>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</si>
  <si>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</si>
  <si>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</si>
  <si>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</si>
  <si>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</si>
  <si>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</si>
  <si>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</si>
  <si>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</si>
  <si>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</si>
  <si>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</si>
  <si>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</si>
  <si>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</si>
  <si>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</si>
  <si>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</si>
  <si>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</si>
  <si>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</si>
  <si>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</si>
  <si>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</si>
  <si>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</si>
  <si>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</si>
  <si>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</si>
  <si>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</si>
  <si>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</si>
  <si>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</si>
  <si>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</si>
  <si>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</si>
  <si>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</si>
  <si>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</si>
  <si>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</si>
  <si>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</si>
  <si>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</si>
  <si>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</si>
  <si>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</si>
  <si>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</si>
  <si>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</si>
  <si>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</si>
  <si>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</si>
  <si>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</si>
  <si>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</si>
  <si>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</si>
  <si>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</si>
  <si>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</si>
  <si>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</si>
  <si>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</si>
  <si>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</si>
  <si>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</si>
  <si>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</si>
  <si>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</si>
  <si>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</si>
  <si>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</si>
  <si>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</si>
  <si>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</si>
  <si>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</si>
  <si>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</si>
  <si>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</si>
  <si>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</si>
  <si>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</si>
  <si>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</si>
  <si>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</si>
  <si>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</si>
  <si>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</si>
  <si>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</si>
  <si>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</si>
  <si>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</si>
  <si>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</si>
  <si>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</si>
  <si>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</si>
  <si>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</si>
  <si>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</si>
  <si>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</si>
  <si>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</si>
  <si>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</si>
  <si>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</si>
  <si>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</si>
  <si>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</si>
  <si>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</si>
  <si>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</si>
  <si>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</si>
  <si>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</si>
  <si>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</si>
  <si>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</si>
  <si>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</si>
  <si>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</si>
  <si>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</si>
  <si>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</si>
  <si>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</si>
  <si>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</si>
  <si>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</si>
  <si>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</si>
  <si>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</si>
  <si>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</si>
  <si>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</si>
  <si>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</si>
  <si>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</si>
  <si>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</si>
  <si>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</si>
  <si>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</si>
  <si>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</si>
  <si>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</si>
  <si>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</si>
  <si>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</si>
  <si>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</si>
  <si>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</si>
  <si>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</si>
  <si>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</si>
  <si>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</si>
  <si>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</si>
  <si>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</si>
  <si>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</si>
  <si>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</si>
  <si>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</si>
  <si>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</si>
  <si>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</si>
  <si>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</si>
  <si>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</si>
  <si>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</si>
  <si>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</si>
  <si>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</si>
  <si>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</si>
  <si>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</si>
  <si>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</si>
  <si>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</si>
  <si>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</si>
  <si>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</si>
  <si>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</si>
  <si>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</si>
  <si>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</si>
  <si>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</si>
  <si>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</si>
  <si>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</si>
  <si>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</si>
  <si>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</si>
  <si>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</si>
  <si>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</si>
  <si>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</si>
  <si>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</si>
  <si>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</si>
  <si>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</si>
  <si>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</si>
  <si>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</si>
  <si>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</si>
  <si>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</si>
  <si>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</si>
  <si>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</si>
  <si>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</si>
  <si>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</si>
  <si>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</si>
  <si>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</si>
  <si>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</si>
  <si>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</si>
  <si>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</si>
  <si>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</si>
  <si>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</si>
  <si>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</si>
  <si>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</si>
  <si>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</si>
  <si>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</si>
  <si>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</si>
  <si>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</si>
  <si>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</si>
  <si>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</si>
  <si>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</si>
  <si>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</si>
  <si>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</si>
  <si>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</si>
  <si>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</si>
  <si>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</si>
  <si>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</si>
  <si>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</si>
  <si>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</si>
  <si>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</si>
  <si>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</si>
  <si>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</si>
  <si>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</si>
  <si>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</si>
  <si>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</si>
  <si>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</si>
  <si>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</si>
  <si>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</si>
  <si>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</si>
  <si>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</si>
  <si>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</si>
  <si>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</si>
  <si>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</si>
  <si>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</si>
  <si>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</si>
  <si>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</si>
  <si>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</si>
  <si>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</si>
  <si>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</si>
  <si>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</si>
  <si>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</si>
  <si>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</si>
  <si>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</si>
  <si>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</si>
  <si>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</si>
  <si>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</si>
  <si>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</si>
  <si>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</si>
  <si>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</si>
  <si>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</si>
  <si>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</si>
  <si>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</si>
  <si>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</si>
  <si>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</si>
  <si>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</si>
  <si>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</si>
  <si>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</si>
  <si>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</si>
  <si>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</si>
  <si>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</si>
  <si>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</si>
  <si>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</si>
  <si>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</si>
  <si>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</si>
  <si>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</si>
  <si>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</si>
  <si>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</si>
  <si>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</si>
  <si>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</si>
  <si>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</si>
  <si>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</si>
  <si>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</si>
  <si>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</si>
  <si>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</si>
  <si>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</si>
  <si>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</si>
  <si>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</si>
  <si>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</si>
  <si>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</si>
  <si>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</si>
  <si>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</si>
  <si>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</si>
  <si>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</si>
  <si>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</si>
  <si>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</si>
  <si>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</si>
  <si>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</si>
  <si>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</si>
  <si>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</si>
  <si>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</si>
  <si>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</si>
  <si>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</si>
  <si>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</si>
  <si>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</si>
  <si>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</si>
  <si>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</si>
  <si>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</si>
  <si>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</si>
  <si>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</si>
  <si>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</si>
  <si>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</si>
  <si>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</si>
  <si>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</si>
  <si>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</si>
  <si>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</si>
  <si>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</si>
  <si>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</si>
  <si>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</si>
  <si>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</si>
  <si>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</si>
  <si>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</si>
  <si>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</si>
  <si>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</si>
  <si>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</si>
  <si>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</si>
  <si>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</si>
  <si>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</si>
  <si>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</si>
  <si>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</si>
  <si>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</si>
  <si>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</si>
  <si>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</si>
  <si>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</si>
  <si>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</si>
  <si>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</si>
  <si>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</si>
  <si>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</si>
  <si>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</si>
  <si>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</si>
  <si>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</si>
  <si>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</si>
  <si>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</si>
  <si>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</si>
  <si>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</si>
  <si>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</si>
  <si>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</si>
  <si>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</si>
  <si>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</si>
  <si>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</si>
  <si>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</si>
  <si>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</si>
  <si>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</si>
  <si>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</si>
  <si>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</si>
  <si>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</si>
  <si>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</si>
  <si>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</si>
  <si>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</si>
  <si>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</si>
  <si>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</si>
  <si>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</si>
  <si>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</si>
  <si>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</si>
  <si>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</si>
  <si>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</si>
  <si>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</si>
  <si>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</si>
  <si>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</si>
  <si>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</si>
  <si>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</si>
  <si>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</si>
  <si>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</si>
  <si>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</si>
  <si>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</si>
  <si>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</si>
  <si>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</si>
  <si>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</si>
  <si>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</si>
  <si>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</si>
  <si>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</si>
  <si>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</si>
  <si>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</si>
  <si>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</si>
  <si>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</si>
  <si>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</si>
  <si>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</si>
  <si>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</si>
  <si>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</si>
  <si>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</si>
  <si>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</si>
  <si>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</si>
  <si>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</si>
  <si>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</si>
  <si>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</si>
  <si>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</si>
  <si>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</si>
  <si>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</si>
  <si>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</si>
  <si>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</si>
  <si>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</si>
  <si>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</si>
  <si>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</si>
  <si>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</si>
  <si>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</si>
  <si>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</si>
  <si>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</si>
  <si>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</si>
  <si>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</si>
  <si>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</si>
  <si>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</si>
  <si>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</si>
  <si>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</si>
  <si>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</si>
  <si>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</si>
  <si>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</si>
  <si>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</si>
  <si>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</si>
  <si>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</si>
  <si>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</si>
  <si>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</si>
  <si>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</si>
  <si>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</si>
  <si>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</si>
  <si>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</si>
  <si>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</si>
  <si>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</si>
  <si>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</si>
  <si>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</si>
  <si>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</si>
  <si>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</si>
  <si>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</si>
  <si>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</si>
  <si>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</si>
  <si>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</si>
  <si>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</si>
  <si>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</si>
  <si>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</si>
  <si>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</si>
  <si>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</si>
  <si>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</si>
  <si>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</si>
  <si>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</si>
  <si>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</si>
  <si>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</si>
  <si>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</si>
  <si>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</si>
  <si>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</si>
  <si>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</si>
  <si>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</si>
  <si>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</si>
  <si>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</si>
  <si>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</si>
  <si>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</si>
  <si>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</si>
  <si>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</si>
  <si>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</si>
  <si>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</si>
  <si>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</si>
  <si>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</si>
  <si>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</si>
  <si>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</si>
  <si>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</si>
  <si>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</si>
  <si>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</si>
  <si>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</si>
  <si>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</si>
  <si>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</si>
  <si>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</si>
  <si>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</si>
  <si>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</si>
  <si>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</si>
  <si>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</si>
  <si>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</si>
  <si>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</si>
  <si>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</si>
  <si>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</si>
  <si>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</si>
  <si>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</si>
  <si>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</si>
  <si>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</si>
  <si>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</si>
  <si>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</si>
  <si>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</si>
  <si>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</si>
  <si>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</si>
  <si>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</si>
  <si>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</si>
  <si>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</si>
  <si>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</si>
  <si>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</si>
  <si>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</si>
  <si>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</si>
  <si>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</si>
  <si>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</si>
  <si>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</si>
  <si>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</si>
  <si>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</si>
  <si>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</si>
  <si>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</si>
  <si>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KPI</t>
  </si>
  <si>
    <t>VALUE</t>
  </si>
  <si>
    <t>Total Customers</t>
  </si>
  <si>
    <t>Churned Customers</t>
  </si>
  <si>
    <t>Churn Rate</t>
  </si>
  <si>
    <t>Month-to-Month</t>
  </si>
  <si>
    <t>Average Monthly Charges</t>
  </si>
  <si>
    <t>Average Tenure</t>
  </si>
  <si>
    <t>Count of Customer_ID</t>
  </si>
  <si>
    <t>Just signed</t>
  </si>
  <si>
    <t>Up to 1 year</t>
  </si>
  <si>
    <t>1 to 2 years</t>
  </si>
  <si>
    <t>2 to 3 years</t>
  </si>
  <si>
    <t>3 to 4 years</t>
  </si>
  <si>
    <t>4 to 5 years</t>
  </si>
  <si>
    <t>5 to 6 years</t>
  </si>
  <si>
    <t>CUSTOMER CHURN ANALYSIS DASHBOARD</t>
  </si>
  <si>
    <t>Total Customers
1,000</t>
  </si>
  <si>
    <t>Churned Customers
212</t>
  </si>
  <si>
    <t>Churn Rate
21.2%</t>
  </si>
  <si>
    <t>Avg Monthly Charges
73.61</t>
  </si>
  <si>
    <t>Avg Tenure
36.97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</si>
</sst>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2" xfId="0" pivotButton="1" applyBorder="1"/>
    <xf numFmtId="0" fontId="0" fillId="0" borderId="2" xfId="0" applyBorder="1"/>
    <xf numFmtId="0" fontId="0" fillId="0" borderId="2" xfId="0" applyNumberForma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38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Customers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KPI_analysis!$K$1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KPI_analysis!$J$2:$J$4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KPI_analysis!$K$2:$K$4</c:f>
              <c:numCache>
                <c:formatCode>General</c:formatCode>
                <c:ptCount val="3"/>
                <c:pt idx="0">
                  <c:v>157</c:v>
                </c:pt>
                <c:pt idx="1">
                  <c:v>32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5-4383-AC23-C0D8377C6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454664"/>
        <c:axId val="252085256"/>
      </c:barChart>
      <c:catAx>
        <c:axId val="232454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85256"/>
        <c:crosses val="autoZero"/>
        <c:auto val="1"/>
        <c:lblAlgn val="ctr"/>
        <c:lblOffset val="100"/>
        <c:noMultiLvlLbl val="0"/>
      </c:catAx>
      <c:valAx>
        <c:axId val="25208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454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[Customer_Churn_Excel_Project.xlsx]Sheet1!PivotTable4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Sheet1!$N$3:$N$4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Sheet1!$M$5:$M$11</c:f>
              <c:strCache>
                <c:ptCount val="7"/>
                <c:pt idx="0">
                  <c:v>Just signed</c:v>
                </c:pt>
                <c:pt idx="1">
                  <c:v>Up to 1 year</c:v>
                </c:pt>
                <c:pt idx="2">
                  <c:v>1 to 2 years</c:v>
                </c:pt>
                <c:pt idx="3">
                  <c:v>2 to 3 years</c:v>
                </c:pt>
                <c:pt idx="4">
                  <c:v>3 to 4 years</c:v>
                </c:pt>
                <c:pt idx="5">
                  <c:v>4 to 5 years</c:v>
                </c:pt>
                <c:pt idx="6">
                  <c:v>5 to 6 years</c:v>
                </c:pt>
              </c:strCache>
            </c:strRef>
          </c:cat>
          <c:val>
            <c:numRef>
              <c:f>Sheet1!$N$5:$N$11</c:f>
              <c:numCache>
                <c:formatCode>General</c:formatCode>
                <c:ptCount val="7"/>
                <c:pt idx="0">
                  <c:v>9</c:v>
                </c:pt>
                <c:pt idx="1">
                  <c:v>89</c:v>
                </c:pt>
                <c:pt idx="2">
                  <c:v>110</c:v>
                </c:pt>
                <c:pt idx="3">
                  <c:v>129</c:v>
                </c:pt>
                <c:pt idx="4">
                  <c:v>135</c:v>
                </c:pt>
                <c:pt idx="5">
                  <c:v>160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0-4475-996D-B3406E522100}"/>
            </c:ext>
          </c:extLst>
        </c:ser>
        <c:ser>
          <c:idx val="1"/>
          <c:order val="1"/>
          <c:tx>
            <c:strRef>
              <c:f>Sheet1!$O$3:$O$4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Sheet1!$M$5:$M$11</c:f>
              <c:strCache>
                <c:ptCount val="7"/>
                <c:pt idx="0">
                  <c:v>Just signed</c:v>
                </c:pt>
                <c:pt idx="1">
                  <c:v>Up to 1 year</c:v>
                </c:pt>
                <c:pt idx="2">
                  <c:v>1 to 2 years</c:v>
                </c:pt>
                <c:pt idx="3">
                  <c:v>2 to 3 years</c:v>
                </c:pt>
                <c:pt idx="4">
                  <c:v>3 to 4 years</c:v>
                </c:pt>
                <c:pt idx="5">
                  <c:v>4 to 5 years</c:v>
                </c:pt>
                <c:pt idx="6">
                  <c:v>5 to 6 years</c:v>
                </c:pt>
              </c:strCache>
            </c:strRef>
          </c:cat>
          <c:val>
            <c:numRef>
              <c:f>Sheet1!$O$5:$O$11</c:f>
              <c:numCache>
                <c:formatCode>General</c:formatCode>
                <c:ptCount val="7"/>
                <c:pt idx="0">
                  <c:v>4</c:v>
                </c:pt>
                <c:pt idx="1">
                  <c:v>66</c:v>
                </c:pt>
                <c:pt idx="2">
                  <c:v>49</c:v>
                </c:pt>
                <c:pt idx="3">
                  <c:v>25</c:v>
                </c:pt>
                <c:pt idx="4">
                  <c:v>31</c:v>
                </c:pt>
                <c:pt idx="5">
                  <c:v>28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0-4475-996D-B3406E522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41800"/>
        <c:axId val="91043848"/>
      </c:barChart>
      <c:catAx>
        <c:axId val="9104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3848"/>
        <c:crosses val="autoZero"/>
        <c:auto val="1"/>
        <c:lblAlgn val="ctr"/>
        <c:lblOffset val="100"/>
        <c:noMultiLvlLbl val="0"/>
      </c:catAx>
      <c:valAx>
        <c:axId val="9104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[Customer_Churn_Excel_Project.xlsx]Sheet1!PivotTable2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Sheet1!$F$1:$F$2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Sheet1!$E$3:$E$5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312</c:v>
                </c:pt>
                <c:pt idx="1">
                  <c:v>361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D-46FA-A27A-1CA30859EC64}"/>
            </c:ext>
          </c:extLst>
        </c:ser>
        <c:ser>
          <c:idx val="1"/>
          <c:order val="1"/>
          <c:tx>
            <c:strRef>
              <c:f>Sheet1!$G$1:$G$2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Sheet1!$E$3:$E$5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66</c:v>
                </c:pt>
                <c:pt idx="1">
                  <c:v>123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D-46FA-A27A-1CA30859E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49448"/>
        <c:axId val="36351496"/>
      </c:barChart>
      <c:catAx>
        <c:axId val="3634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51496"/>
        <c:crosses val="autoZero"/>
        <c:auto val="1"/>
        <c:lblAlgn val="ctr"/>
        <c:lblOffset val="100"/>
        <c:noMultiLvlLbl val="0"/>
      </c:catAx>
      <c:valAx>
        <c:axId val="363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[Customer_Churn_Excel_Project.xlsx]Sheet1!PivotTable3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Sheet1!$J$1:$J$2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Sheet1!$I$3:$I$6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Sheet1!$J$3:$J$6</c:f>
              <c:numCache>
                <c:formatCode>General</c:formatCode>
                <c:ptCount val="4"/>
                <c:pt idx="0">
                  <c:v>190</c:v>
                </c:pt>
                <c:pt idx="1">
                  <c:v>163</c:v>
                </c:pt>
                <c:pt idx="2">
                  <c:v>258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C-4226-AF06-CB2B606682B3}"/>
            </c:ext>
          </c:extLst>
        </c:ser>
        <c:ser>
          <c:idx val="1"/>
          <c:order val="1"/>
          <c:tx>
            <c:strRef>
              <c:f>Sheet1!$K$1:$K$2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Sheet1!$I$3:$I$6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Sheet1!$K$3:$K$6</c:f>
              <c:numCache>
                <c:formatCode>General</c:formatCode>
                <c:ptCount val="4"/>
                <c:pt idx="0">
                  <c:v>44</c:v>
                </c:pt>
                <c:pt idx="1">
                  <c:v>37</c:v>
                </c:pt>
                <c:pt idx="2">
                  <c:v>87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C-4226-AF06-CB2B60668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5538824"/>
        <c:axId val="245540872"/>
      </c:barChart>
      <c:catAx>
        <c:axId val="24553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40872"/>
        <c:crosses val="autoZero"/>
        <c:auto val="1"/>
        <c:lblAlgn val="ctr"/>
        <c:lblOffset val="100"/>
        <c:noMultiLvlLbl val="0"/>
      </c:catAx>
      <c:valAx>
        <c:axId val="24554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3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590550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DB998-5E74-460E-9A5F-369ADB320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13</xdr:col>
      <xdr:colOff>590550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E8C7A-6DD7-4518-846F-18B52B72F5C7}"/>
            </a:ext>
            <a:ext uri="{147F2762-F138-4A5C-976F-8EAC2B608ADB}">
              <a16:predDERef xmlns:a16="http://schemas.microsoft.com/office/drawing/2014/main" pred="{A37DB998-5E74-460E-9A5F-369ADB320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5</xdr:col>
      <xdr:colOff>590550</xdr:colOff>
      <xdr:row>32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9C5038-230D-4D58-AEC8-DA135A8A211F}"/>
            </a:ext>
            <a:ext uri="{147F2762-F138-4A5C-976F-8EAC2B608ADB}">
              <a16:predDERef xmlns:a16="http://schemas.microsoft.com/office/drawing/2014/main" pred="{ED7E8C7A-6DD7-4518-846F-18B52B72F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581025</xdr:colOff>
      <xdr:row>32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336A8B-314C-431D-B81B-ACE45AEB19D7}"/>
            </a:ext>
            <a:ext uri="{147F2762-F138-4A5C-976F-8EAC2B608ADB}">
              <a16:predDERef xmlns:a16="http://schemas.microsoft.com/office/drawing/2014/main" pred="{529C5038-230D-4D58-AEC8-DA135A8A2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9.494128472223" createdVersion="8" refreshedVersion="8" minRefreshableVersion="3" recordCount="1000" xr:uid="{239CEA04-701F-4842-9785-94B8293A17EF}">
  <cacheSource type="worksheet">
    <worksheetSource ref="A1:L1001" sheet="Customer_Data"/>
  </cacheSource>
  <cacheFields count="12">
    <cacheField name="Customer_ID" numFmtId="0">
      <sharedItems/>
    </cacheField>
    <cacheField name="Gender" numFmtId="0">
      <sharedItems/>
    </cacheField>
    <cacheField name="Senior_Citizen" numFmtId="0">
      <sharedItems/>
    </cacheField>
    <cacheField name="Partner" numFmtId="0">
      <sharedItems/>
    </cacheField>
    <cacheField name="Dependents" numFmtId="0">
      <sharedItems/>
    </cacheField>
    <cacheField name="Tenure_Months" numFmtId="0">
      <sharedItems containsSemiMixedTypes="0" containsString="0" containsNumber="1" containsInteger="1" minValue="0" maxValue="72" count="73">
        <n v="56"/>
        <n v="71"/>
        <n v="6"/>
        <n v="55"/>
        <n v="66"/>
        <n v="15"/>
        <n v="50"/>
        <n v="11"/>
        <n v="52"/>
        <n v="4"/>
        <n v="26"/>
        <n v="16"/>
        <n v="5"/>
        <n v="27"/>
        <n v="68"/>
        <n v="58"/>
        <n v="32"/>
        <n v="61"/>
        <n v="49"/>
        <n v="18"/>
        <n v="65"/>
        <n v="46"/>
        <n v="38"/>
        <n v="67"/>
        <n v="12"/>
        <n v="53"/>
        <n v="13"/>
        <n v="19"/>
        <n v="28"/>
        <n v="23"/>
        <n v="62"/>
        <n v="7"/>
        <n v="57"/>
        <n v="40"/>
        <n v="48"/>
        <n v="70"/>
        <n v="2"/>
        <n v="9"/>
        <n v="34"/>
        <n v="1"/>
        <n v="37"/>
        <n v="21"/>
        <n v="25"/>
        <n v="42"/>
        <n v="54"/>
        <n v="29"/>
        <n v="33"/>
        <n v="72"/>
        <n v="47"/>
        <n v="69"/>
        <n v="64"/>
        <n v="20"/>
        <n v="24"/>
        <n v="44"/>
        <n v="8"/>
        <n v="35"/>
        <n v="0"/>
        <n v="45"/>
        <n v="31"/>
        <n v="14"/>
        <n v="3"/>
        <n v="41"/>
        <n v="39"/>
        <n v="22"/>
        <n v="51"/>
        <n v="60"/>
        <n v="59"/>
        <n v="36"/>
        <n v="17"/>
        <n v="10"/>
        <n v="63"/>
        <n v="30"/>
        <n v="43"/>
      </sharedItems>
    </cacheField>
    <cacheField name="Contract" numFmtId="0">
      <sharedItems count="3">
        <s v="One year"/>
        <s v="Month-to-month"/>
        <s v="Two year"/>
      </sharedItems>
    </cacheField>
    <cacheField name="Internet_Service" numFmtId="0">
      <sharedItems count="3">
        <s v="Fiber optic"/>
        <s v="No"/>
        <s v="DSL"/>
      </sharedItems>
    </cacheField>
    <cacheField name="Payment_Method" numFmtId="0">
      <sharedItems count="4">
        <s v="Mailed check"/>
        <s v="Electronic check"/>
        <s v="Bank transfer"/>
        <s v="Credit card"/>
      </sharedItems>
    </cacheField>
    <cacheField name="Monthly_Charges" numFmtId="0">
      <sharedItems containsSemiMixedTypes="0" containsString="0" containsNumber="1" minValue="20" maxValue="140"/>
    </cacheField>
    <cacheField name="Total_Charges" numFmtId="0">
      <sharedItems containsSemiMixedTypes="0" containsString="0" containsNumber="1" minValue="11.395" maxValue="9102.3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8.634968402781" createdVersion="8" refreshedVersion="8" minRefreshableVersion="3" recordCount="1000" xr:uid="{A3EBD1B0-E235-4D9E-B791-7D89791D71C1}">
  <cacheSource type="worksheet">
    <worksheetSource ref="A1:M1001" sheet="Customer_Data"/>
  </cacheSource>
  <cacheFields count="13">
    <cacheField name="Customer_ID" numFmtId="0">
      <sharedItems count="100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59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  <s v="CUST0501"/>
        <s v="CUST0502"/>
        <s v="CUST0503"/>
        <s v="CUST0504"/>
        <s v="CUST0505"/>
        <s v="CUST0506"/>
        <s v="CUST0507"/>
        <s v="CUST0508"/>
        <s v="CUST0509"/>
        <s v="CUST0510"/>
        <s v="CUST0511"/>
        <s v="CUST0512"/>
        <s v="CUST0513"/>
        <s v="CUST0514"/>
        <s v="CUST0515"/>
        <s v="CUST0516"/>
        <s v="CUST0517"/>
        <s v="CUST0518"/>
        <s v="CUST0519"/>
        <s v="CUST0520"/>
        <s v="CUST0521"/>
        <s v="CUST0522"/>
        <s v="CUST0523"/>
        <s v="CUST0524"/>
        <s v="CUST0525"/>
        <s v="CUST0526"/>
        <s v="CUST0527"/>
        <s v="CUST0528"/>
        <s v="CUST0529"/>
        <s v="CUST0530"/>
        <s v="CUST0531"/>
        <s v="CUST0532"/>
        <s v="CUST0533"/>
        <s v="CUST0534"/>
        <s v="CUST0535"/>
        <s v="CUST0536"/>
        <s v="CUST0537"/>
        <s v="CUST0538"/>
        <s v="CUST0539"/>
        <s v="CUST0540"/>
        <s v="CUST0541"/>
        <s v="CUST0542"/>
        <s v="CUST0543"/>
        <s v="CUST0544"/>
        <s v="CUST0545"/>
        <s v="CUST0546"/>
        <s v="CUST0547"/>
        <s v="CUST0548"/>
        <s v="CUST0549"/>
        <s v="CUST0550"/>
        <s v="CUST0551"/>
        <s v="CUST0552"/>
        <s v="CUST0553"/>
        <s v="CUST0554"/>
        <s v="CUST0555"/>
        <s v="CUST0556"/>
        <s v="CUST0557"/>
        <s v="CUST0558"/>
        <s v="CUST0559"/>
        <s v="CUST0560"/>
        <s v="CUST0561"/>
        <s v="CUST0562"/>
        <s v="CUST0563"/>
        <s v="CUST0564"/>
        <s v="CUST0565"/>
        <s v="CUST0566"/>
        <s v="CUST0567"/>
        <s v="CUST0568"/>
        <s v="CUST0569"/>
        <s v="CUST0570"/>
        <s v="CUST0571"/>
        <s v="CUST0572"/>
        <s v="CUST0573"/>
        <s v="CUST0574"/>
        <s v="CUST0575"/>
        <s v="CUST0576"/>
        <s v="CUST0577"/>
        <s v="CUST0578"/>
        <s v="CUST0579"/>
        <s v="CUST0580"/>
        <s v="CUST0581"/>
        <s v="CUST0582"/>
        <s v="CUST0583"/>
        <s v="CUST0584"/>
        <s v="CUST0585"/>
        <s v="CUST0586"/>
        <s v="CUST0587"/>
        <s v="CUST0588"/>
        <s v="CUST0589"/>
        <s v="CUST0590"/>
        <s v="CUST0591"/>
        <s v="CUST0592"/>
        <s v="CUST0593"/>
        <s v="CUST0594"/>
        <s v="CUST0595"/>
        <s v="CUST0596"/>
        <s v="CUST0597"/>
        <s v="CUST0598"/>
        <s v="CUST0599"/>
        <s v="CUST0600"/>
        <s v="CUST0601"/>
        <s v="CUST0602"/>
        <s v="CUST0603"/>
        <s v="CUST0604"/>
        <s v="CUST0605"/>
        <s v="CUST0606"/>
        <s v="CUST0607"/>
        <s v="CUST0608"/>
        <s v="CUST0609"/>
        <s v="CUST0610"/>
        <s v="CUST0611"/>
        <s v="CUST0612"/>
        <s v="CUST0613"/>
        <s v="CUST0614"/>
        <s v="CUST0615"/>
        <s v="CUST0616"/>
        <s v="CUST0617"/>
        <s v="CUST0618"/>
        <s v="CUST0619"/>
        <s v="CUST0620"/>
        <s v="CUST0621"/>
        <s v="CUST0622"/>
        <s v="CUST0623"/>
        <s v="CUST0624"/>
        <s v="CUST0625"/>
        <s v="CUST0626"/>
        <s v="CUST0627"/>
        <s v="CUST0628"/>
        <s v="CUST0629"/>
        <s v="CUST0630"/>
        <s v="CUST0631"/>
        <s v="CUST0632"/>
        <s v="CUST0633"/>
        <s v="CUST0634"/>
        <s v="CUST0635"/>
        <s v="CUST0636"/>
        <s v="CUST0637"/>
        <s v="CUST0638"/>
        <s v="CUST0639"/>
        <s v="CUST0640"/>
        <s v="CUST0641"/>
        <s v="CUST0642"/>
        <s v="CUST0643"/>
        <s v="CUST0644"/>
        <s v="CUST0645"/>
        <s v="CUST0646"/>
        <s v="CUST0647"/>
        <s v="CUST0648"/>
        <s v="CUST0649"/>
        <s v="CUST0650"/>
        <s v="CUST0651"/>
        <s v="CUST0652"/>
        <s v="CUST0653"/>
        <s v="CUST0654"/>
        <s v="CUST0655"/>
        <s v="CUST0656"/>
        <s v="CUST0657"/>
        <s v="CUST0658"/>
        <s v="CUST0659"/>
        <s v="CUST0660"/>
        <s v="CUST0661"/>
        <s v="CUST0662"/>
        <s v="CUST0663"/>
        <s v="CUST0664"/>
        <s v="CUST0665"/>
        <s v="CUST0666"/>
        <s v="CUST0667"/>
        <s v="CUST0668"/>
        <s v="CUST0669"/>
        <s v="CUST0670"/>
        <s v="CUST0671"/>
        <s v="CUST0672"/>
        <s v="CUST0673"/>
        <s v="CUST0674"/>
        <s v="CUST0675"/>
        <s v="CUST0676"/>
        <s v="CUST0677"/>
        <s v="CUST0678"/>
        <s v="CUST0679"/>
        <s v="CUST0680"/>
        <s v="CUST0681"/>
        <s v="CUST0682"/>
        <s v="CUST0683"/>
        <s v="CUST0684"/>
        <s v="CUST0685"/>
        <s v="CUST0686"/>
        <s v="CUST0687"/>
        <s v="CUST0688"/>
        <s v="CUST0689"/>
        <s v="CUST0690"/>
        <s v="CUST0691"/>
        <s v="CUST0692"/>
        <s v="CUST0693"/>
        <s v="CUST0694"/>
        <s v="CUST0695"/>
        <s v="CUST0696"/>
        <s v="CUST0697"/>
        <s v="CUST0698"/>
        <s v="CUST0699"/>
        <s v="CUST0700"/>
        <s v="CUST0701"/>
        <s v="CUST0702"/>
        <s v="CUST0703"/>
        <s v="CUST0704"/>
        <s v="CUST0705"/>
        <s v="CUST0706"/>
        <s v="CUST0707"/>
        <s v="CUST0708"/>
        <s v="CUST0709"/>
        <s v="CUST0710"/>
        <s v="CUST0711"/>
        <s v="CUST0712"/>
        <s v="CUST0713"/>
        <s v="CUST0714"/>
        <s v="CUST0715"/>
        <s v="CUST0716"/>
        <s v="CUST0717"/>
        <s v="CUST0718"/>
        <s v="CUST0719"/>
        <s v="CUST0720"/>
        <s v="CUST0721"/>
        <s v="CUST0722"/>
        <s v="CUST0723"/>
        <s v="CUST0724"/>
        <s v="CUST0725"/>
        <s v="CUST0726"/>
        <s v="CUST0727"/>
        <s v="CUST0728"/>
        <s v="CUST0729"/>
        <s v="CUST0730"/>
        <s v="CUST0731"/>
        <s v="CUST0732"/>
        <s v="CUST0733"/>
        <s v="CUST0734"/>
        <s v="CUST0735"/>
        <s v="CUST0736"/>
        <s v="CUST0737"/>
        <s v="CUST0738"/>
        <s v="CUST0739"/>
        <s v="CUST0740"/>
        <s v="CUST0741"/>
        <s v="CUST0742"/>
        <s v="CUST0743"/>
        <s v="CUST0744"/>
        <s v="CUST0745"/>
        <s v="CUST0746"/>
        <s v="CUST0747"/>
        <s v="CUST0748"/>
        <s v="CUST0749"/>
        <s v="CUST0750"/>
        <s v="CUST0751"/>
        <s v="CUST0752"/>
        <s v="CUST0753"/>
        <s v="CUST0754"/>
        <s v="CUST0755"/>
        <s v="CUST0756"/>
        <s v="CUST0757"/>
        <s v="CUST0758"/>
        <s v="CUST0759"/>
        <s v="CUST0760"/>
        <s v="CUST0761"/>
        <s v="CUST0762"/>
        <s v="CUST0763"/>
        <s v="CUST0764"/>
        <s v="CUST0765"/>
        <s v="CUST0766"/>
        <s v="CUST0767"/>
        <s v="CUST0768"/>
        <s v="CUST0769"/>
        <s v="CUST0770"/>
        <s v="CUST0771"/>
        <s v="CUST0772"/>
        <s v="CUST0773"/>
        <s v="CUST0774"/>
        <s v="CUST0775"/>
        <s v="CUST0776"/>
        <s v="CUST0777"/>
        <s v="CUST0778"/>
        <s v="CUST0779"/>
        <s v="CUST0780"/>
        <s v="CUST0781"/>
        <s v="CUST0782"/>
        <s v="CUST0783"/>
        <s v="CUST0784"/>
        <s v="CUST0785"/>
        <s v="CUST0786"/>
        <s v="CUST0787"/>
        <s v="CUST0788"/>
        <s v="CUST0789"/>
        <s v="CUST0790"/>
        <s v="CUST0791"/>
        <s v="CUST0792"/>
        <s v="CUST0793"/>
        <s v="CUST0794"/>
        <s v="CUST0795"/>
        <s v="CUST0796"/>
        <s v="CUST0797"/>
        <s v="CUST0798"/>
        <s v="CUST0799"/>
        <s v="CUST0800"/>
        <s v="CUST0801"/>
        <s v="CUST0802"/>
        <s v="CUST0803"/>
        <s v="CUST0804"/>
        <s v="CUST0805"/>
        <s v="CUST0806"/>
        <s v="CUST0807"/>
        <s v="CUST0808"/>
        <s v="CUST0809"/>
        <s v="CUST0810"/>
        <s v="CUST0811"/>
        <s v="CUST0812"/>
        <s v="CUST0813"/>
        <s v="CUST0814"/>
        <s v="CUST0815"/>
        <s v="CUST0816"/>
        <s v="CUST0817"/>
        <s v="CUST0818"/>
        <s v="CUST0819"/>
        <s v="CUST0820"/>
        <s v="CUST0821"/>
        <s v="CUST0822"/>
        <s v="CUST0823"/>
        <s v="CUST0824"/>
        <s v="CUST0825"/>
        <s v="CUST0826"/>
        <s v="CUST0827"/>
        <s v="CUST0828"/>
        <s v="CUST0829"/>
        <s v="CUST0830"/>
        <s v="CUST0831"/>
        <s v="CUST0832"/>
        <s v="CUST0833"/>
        <s v="CUST0834"/>
        <s v="CUST0835"/>
        <s v="CUST0836"/>
        <s v="CUST0837"/>
        <s v="CUST0838"/>
        <s v="CUST0839"/>
        <s v="CUST0840"/>
        <s v="CUST0841"/>
        <s v="CUST0842"/>
        <s v="CUST0843"/>
        <s v="CUST0844"/>
        <s v="CUST0845"/>
        <s v="CUST0846"/>
        <s v="CUST0847"/>
        <s v="CUST0848"/>
        <s v="CUST0849"/>
        <s v="CUST0850"/>
        <s v="CUST0851"/>
        <s v="CUST0852"/>
        <s v="CUST0853"/>
        <s v="CUST0854"/>
        <s v="CUST0855"/>
        <s v="CUST0856"/>
        <s v="CUST0857"/>
        <s v="CUST0858"/>
        <s v="CUST0859"/>
        <s v="CUST0860"/>
        <s v="CUST0861"/>
        <s v="CUST0862"/>
        <s v="CUST0863"/>
        <s v="CUST0864"/>
        <s v="CUST0865"/>
        <s v="CUST0866"/>
        <s v="CUST0867"/>
        <s v="CUST0868"/>
        <s v="CUST0869"/>
        <s v="CUST0870"/>
        <s v="CUST0871"/>
        <s v="CUST0872"/>
        <s v="CUST0873"/>
        <s v="CUST0874"/>
        <s v="CUST0875"/>
        <s v="CUST0876"/>
        <s v="CUST0877"/>
        <s v="CUST0878"/>
        <s v="CUST0879"/>
        <s v="CUST0880"/>
        <s v="CUST0881"/>
        <s v="CUST0882"/>
        <s v="CUST0883"/>
        <s v="CUST0884"/>
        <s v="CUST0885"/>
        <s v="CUST0886"/>
        <s v="CUST0887"/>
        <s v="CUST0888"/>
        <s v="CUST0889"/>
        <s v="CUST0890"/>
        <s v="CUST0891"/>
        <s v="CUST0892"/>
        <s v="CUST0893"/>
        <s v="CUST0894"/>
        <s v="CUST0895"/>
        <s v="CUST0896"/>
        <s v="CUST0897"/>
        <s v="CUST0898"/>
        <s v="CUST0899"/>
        <s v="CUST0900"/>
        <s v="CUST0901"/>
        <s v="CUST0902"/>
        <s v="CUST0903"/>
        <s v="CUST0904"/>
        <s v="CUST0905"/>
        <s v="CUST0906"/>
        <s v="CUST0907"/>
        <s v="CUST0908"/>
        <s v="CUST0909"/>
        <s v="CUST0910"/>
        <s v="CUST0911"/>
        <s v="CUST0912"/>
        <s v="CUST0913"/>
        <s v="CUST0914"/>
        <s v="CUST0915"/>
        <s v="CUST0916"/>
        <s v="CUST0917"/>
        <s v="CUST0918"/>
        <s v="CUST0919"/>
        <s v="CUST0920"/>
        <s v="CUST0921"/>
        <s v="CUST0922"/>
        <s v="CUST0923"/>
        <s v="CUST0924"/>
        <s v="CUST0925"/>
        <s v="CUST0926"/>
        <s v="CUST0927"/>
        <s v="CUST0928"/>
        <s v="CUST0929"/>
        <s v="CUST0930"/>
        <s v="CUST0931"/>
        <s v="CUST0932"/>
        <s v="CUST0933"/>
        <s v="CUST0934"/>
        <s v="CUST0935"/>
        <s v="CUST0936"/>
        <s v="CUST0937"/>
        <s v="CUST0938"/>
        <s v="CUST0939"/>
        <s v="CUST0940"/>
        <s v="CUST0941"/>
        <s v="CUST0942"/>
        <s v="CUST0943"/>
        <s v="CUST0944"/>
        <s v="CUST0945"/>
        <s v="CUST0946"/>
        <s v="CUST0947"/>
        <s v="CUST0948"/>
        <s v="CUST0949"/>
        <s v="CUST0950"/>
        <s v="CUST0951"/>
        <s v="CUST0952"/>
        <s v="CUST0953"/>
        <s v="CUST0954"/>
        <s v="CUST0955"/>
        <s v="CUST0956"/>
        <s v="CUST0957"/>
        <s v="CUST0958"/>
        <s v="CUST0959"/>
        <s v="CUST0960"/>
        <s v="CUST0961"/>
        <s v="CUST0962"/>
        <s v="CUST0963"/>
        <s v="CUST0964"/>
        <s v="CUST0965"/>
        <s v="CUST0966"/>
        <s v="CUST0967"/>
        <s v="CUST0968"/>
        <s v="CUST0969"/>
        <s v="CUST0970"/>
        <s v="CUST0971"/>
        <s v="CUST0972"/>
        <s v="CUST0973"/>
        <s v="CUST0974"/>
        <s v="CUST0975"/>
        <s v="CUST0976"/>
        <s v="CUST0977"/>
        <s v="CUST0978"/>
        <s v="CUST0979"/>
        <s v="CUST0980"/>
        <s v="CUST0981"/>
        <s v="CUST0982"/>
        <s v="CUST0983"/>
        <s v="CUST0984"/>
        <s v="CUST0985"/>
        <s v="CUST0986"/>
        <s v="CUST0987"/>
        <s v="CUST0988"/>
        <s v="CUST0989"/>
        <s v="CUST0990"/>
        <s v="CUST0991"/>
        <s v="CUST0992"/>
        <s v="CUST0993"/>
        <s v="CUST0994"/>
        <s v="CUST0995"/>
        <s v="CUST0996"/>
        <s v="CUST0997"/>
        <s v="CUST0998"/>
        <s v="CUST0999"/>
        <s v="CUST1000"/>
      </sharedItems>
    </cacheField>
    <cacheField name="Gender" numFmtId="0">
      <sharedItems/>
    </cacheField>
    <cacheField name="Senior_Citizen" numFmtId="0">
      <sharedItems count="2">
        <s v="No"/>
        <s v="Yes"/>
      </sharedItems>
    </cacheField>
    <cacheField name="Partner" numFmtId="0">
      <sharedItems/>
    </cacheField>
    <cacheField name="Dependents" numFmtId="0">
      <sharedItems/>
    </cacheField>
    <cacheField name="Tenure_Months" numFmtId="0">
      <sharedItems containsSemiMixedTypes="0" containsString="0" containsNumber="1" containsInteger="1" minValue="0" maxValue="72"/>
    </cacheField>
    <cacheField name="Contract" numFmtId="0">
      <sharedItems/>
    </cacheField>
    <cacheField name="Internet_Service" numFmtId="0">
      <sharedItems/>
    </cacheField>
    <cacheField name="Payment_Method" numFmtId="0">
      <sharedItems/>
    </cacheField>
    <cacheField name="Monthly_Charges" numFmtId="0">
      <sharedItems containsSemiMixedTypes="0" containsString="0" containsNumber="1" minValue="20" maxValue="140"/>
    </cacheField>
    <cacheField name="Total_Charges" numFmtId="0">
      <sharedItems containsSemiMixedTypes="0" containsString="0" containsNumber="1" minValue="11.395" maxValue="9102.33"/>
    </cacheField>
    <cacheField name="Churn" numFmtId="0">
      <sharedItems count="2">
        <s v="No"/>
        <s v="Yes"/>
      </sharedItems>
    </cacheField>
    <cacheField name="Tenure Group" numFmtId="0">
      <sharedItems count="7">
        <s v="4 to 5 years"/>
        <s v="5 to 6 years"/>
        <s v="Up to 1 year"/>
        <s v="1 to 2 years"/>
        <s v="2 to 3 years"/>
        <s v="3 to 4 years"/>
        <s v="Just sig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001"/>
    <s v="Male"/>
    <s v="No"/>
    <s v="No"/>
    <s v="Yes"/>
    <x v="0"/>
    <x v="0"/>
    <x v="0"/>
    <x v="0"/>
    <n v="58.41"/>
    <n v="3292.87"/>
    <x v="0"/>
  </r>
  <r>
    <s v="CUST0002"/>
    <s v="Female"/>
    <s v="No"/>
    <s v="No"/>
    <s v="Yes"/>
    <x v="1"/>
    <x v="1"/>
    <x v="1"/>
    <x v="1"/>
    <n v="85.7"/>
    <n v="5869.62"/>
    <x v="0"/>
  </r>
  <r>
    <s v="CUST0003"/>
    <s v="Male"/>
    <s v="No"/>
    <s v="No"/>
    <s v="No"/>
    <x v="2"/>
    <x v="2"/>
    <x v="0"/>
    <x v="2"/>
    <n v="49.77"/>
    <n v="250.5"/>
    <x v="0"/>
  </r>
  <r>
    <s v="CUST0004"/>
    <s v="Male"/>
    <s v="No"/>
    <s v="No"/>
    <s v="Yes"/>
    <x v="3"/>
    <x v="1"/>
    <x v="0"/>
    <x v="2"/>
    <n v="55.91"/>
    <n v="3118.56"/>
    <x v="0"/>
  </r>
  <r>
    <s v="CUST0005"/>
    <s v="Male"/>
    <s v="No"/>
    <s v="Yes"/>
    <s v="Yes"/>
    <x v="4"/>
    <x v="1"/>
    <x v="1"/>
    <x v="2"/>
    <n v="21.69"/>
    <n v="1521.16"/>
    <x v="0"/>
  </r>
  <r>
    <s v="CUST0006"/>
    <s v="Female"/>
    <s v="No"/>
    <s v="Yes"/>
    <s v="No"/>
    <x v="5"/>
    <x v="1"/>
    <x v="0"/>
    <x v="1"/>
    <n v="77.73"/>
    <n v="1203.77"/>
    <x v="0"/>
  </r>
  <r>
    <s v="CUST0007"/>
    <s v="Male"/>
    <s v="No"/>
    <s v="No"/>
    <s v="No"/>
    <x v="6"/>
    <x v="0"/>
    <x v="0"/>
    <x v="0"/>
    <n v="127.14"/>
    <n v="6245.77"/>
    <x v="0"/>
  </r>
  <r>
    <s v="CUST0008"/>
    <s v="Male"/>
    <s v="No"/>
    <s v="Yes"/>
    <s v="No"/>
    <x v="1"/>
    <x v="1"/>
    <x v="0"/>
    <x v="1"/>
    <n v="76.680000000000007"/>
    <n v="5526.91"/>
    <x v="0"/>
  </r>
  <r>
    <s v="CUST0009"/>
    <s v="Male"/>
    <s v="No"/>
    <s v="No"/>
    <s v="Yes"/>
    <x v="7"/>
    <x v="1"/>
    <x v="0"/>
    <x v="2"/>
    <n v="81.67"/>
    <n v="807.24"/>
    <x v="1"/>
  </r>
  <r>
    <s v="CUST0010"/>
    <s v="Female"/>
    <s v="No"/>
    <s v="Yes"/>
    <s v="No"/>
    <x v="8"/>
    <x v="2"/>
    <x v="2"/>
    <x v="1"/>
    <n v="50.11"/>
    <n v="2654.86"/>
    <x v="0"/>
  </r>
  <r>
    <s v="CUST0011"/>
    <s v="Male"/>
    <s v="No"/>
    <s v="No"/>
    <s v="Yes"/>
    <x v="9"/>
    <x v="1"/>
    <x v="0"/>
    <x v="3"/>
    <n v="78.459999999999994"/>
    <n v="225.37"/>
    <x v="1"/>
  </r>
  <r>
    <s v="CUST0012"/>
    <s v="Male"/>
    <s v="No"/>
    <s v="No"/>
    <s v="Yes"/>
    <x v="10"/>
    <x v="1"/>
    <x v="0"/>
    <x v="2"/>
    <n v="110.73"/>
    <n v="2817.12"/>
    <x v="0"/>
  </r>
  <r>
    <s v="CUST0013"/>
    <s v="Male"/>
    <s v="No"/>
    <s v="Yes"/>
    <s v="No"/>
    <x v="7"/>
    <x v="2"/>
    <x v="0"/>
    <x v="0"/>
    <n v="83.57"/>
    <n v="842.76"/>
    <x v="1"/>
  </r>
  <r>
    <s v="CUST0014"/>
    <s v="Male"/>
    <s v="No"/>
    <s v="Yes"/>
    <s v="Yes"/>
    <x v="11"/>
    <x v="1"/>
    <x v="0"/>
    <x v="0"/>
    <n v="133.29"/>
    <n v="2143.7600000000002"/>
    <x v="0"/>
  </r>
  <r>
    <s v="CUST0015"/>
    <s v="Female"/>
    <s v="Yes"/>
    <s v="No"/>
    <s v="No"/>
    <x v="12"/>
    <x v="1"/>
    <x v="0"/>
    <x v="1"/>
    <n v="111.49"/>
    <n v="541.80999999999995"/>
    <x v="1"/>
  </r>
  <r>
    <s v="CUST0016"/>
    <s v="Male"/>
    <s v="Yes"/>
    <s v="No"/>
    <s v="No"/>
    <x v="9"/>
    <x v="1"/>
    <x v="2"/>
    <x v="1"/>
    <n v="67.84"/>
    <n v="312.07"/>
    <x v="1"/>
  </r>
  <r>
    <s v="CUST0017"/>
    <s v="Female"/>
    <s v="No"/>
    <s v="Yes"/>
    <s v="No"/>
    <x v="0"/>
    <x v="1"/>
    <x v="0"/>
    <x v="3"/>
    <n v="77.36"/>
    <n v="4330.67"/>
    <x v="0"/>
  </r>
  <r>
    <s v="CUST0018"/>
    <s v="Female"/>
    <s v="No"/>
    <s v="Yes"/>
    <s v="No"/>
    <x v="13"/>
    <x v="1"/>
    <x v="2"/>
    <x v="3"/>
    <n v="110.77"/>
    <n v="2869.36"/>
    <x v="0"/>
  </r>
  <r>
    <s v="CUST0019"/>
    <s v="Female"/>
    <s v="No"/>
    <s v="No"/>
    <s v="Yes"/>
    <x v="14"/>
    <x v="1"/>
    <x v="0"/>
    <x v="1"/>
    <n v="83.43"/>
    <n v="5695.3"/>
    <x v="0"/>
  </r>
  <r>
    <s v="CUST0020"/>
    <s v="Male"/>
    <s v="Yes"/>
    <s v="Yes"/>
    <s v="No"/>
    <x v="15"/>
    <x v="1"/>
    <x v="1"/>
    <x v="2"/>
    <n v="90.22"/>
    <n v="5091.79"/>
    <x v="1"/>
  </r>
  <r>
    <s v="CUST0021"/>
    <s v="Female"/>
    <s v="No"/>
    <s v="No"/>
    <s v="No"/>
    <x v="16"/>
    <x v="1"/>
    <x v="0"/>
    <x v="2"/>
    <n v="130.07"/>
    <n v="4091.53"/>
    <x v="1"/>
  </r>
  <r>
    <s v="CUST0022"/>
    <s v="Male"/>
    <s v="No"/>
    <s v="No"/>
    <s v="No"/>
    <x v="17"/>
    <x v="0"/>
    <x v="0"/>
    <x v="2"/>
    <n v="74.89"/>
    <n v="4539.18"/>
    <x v="0"/>
  </r>
  <r>
    <s v="CUST0023"/>
    <s v="Female"/>
    <s v="No"/>
    <s v="No"/>
    <s v="No"/>
    <x v="18"/>
    <x v="1"/>
    <x v="2"/>
    <x v="1"/>
    <n v="78.8"/>
    <n v="3826.54"/>
    <x v="1"/>
  </r>
  <r>
    <s v="CUST0024"/>
    <s v="Female"/>
    <s v="No"/>
    <s v="No"/>
    <s v="Yes"/>
    <x v="19"/>
    <x v="1"/>
    <x v="2"/>
    <x v="1"/>
    <n v="94.5"/>
    <n v="1569.21"/>
    <x v="0"/>
  </r>
  <r>
    <s v="CUST0025"/>
    <s v="Female"/>
    <s v="No"/>
    <s v="Yes"/>
    <s v="No"/>
    <x v="14"/>
    <x v="2"/>
    <x v="0"/>
    <x v="1"/>
    <n v="99.19"/>
    <n v="6854.61"/>
    <x v="0"/>
  </r>
  <r>
    <s v="CUST0026"/>
    <s v="Female"/>
    <s v="No"/>
    <s v="Yes"/>
    <s v="Yes"/>
    <x v="20"/>
    <x v="0"/>
    <x v="2"/>
    <x v="3"/>
    <n v="89.01"/>
    <n v="5917.49"/>
    <x v="0"/>
  </r>
  <r>
    <s v="CUST0027"/>
    <s v="Female"/>
    <s v="No"/>
    <s v="Yes"/>
    <s v="No"/>
    <x v="21"/>
    <x v="1"/>
    <x v="0"/>
    <x v="0"/>
    <n v="46.66"/>
    <n v="2326.42"/>
    <x v="0"/>
  </r>
  <r>
    <s v="CUST0028"/>
    <s v="Female"/>
    <s v="No"/>
    <s v="Yes"/>
    <s v="No"/>
    <x v="22"/>
    <x v="2"/>
    <x v="2"/>
    <x v="0"/>
    <n v="48.79"/>
    <n v="1945.83"/>
    <x v="0"/>
  </r>
  <r>
    <s v="CUST0029"/>
    <s v="Female"/>
    <s v="Yes"/>
    <s v="Yes"/>
    <s v="Yes"/>
    <x v="23"/>
    <x v="1"/>
    <x v="0"/>
    <x v="3"/>
    <n v="67.62"/>
    <n v="4498.8999999999996"/>
    <x v="0"/>
  </r>
  <r>
    <s v="CUST0030"/>
    <s v="Female"/>
    <s v="No"/>
    <s v="Yes"/>
    <s v="No"/>
    <x v="16"/>
    <x v="1"/>
    <x v="0"/>
    <x v="2"/>
    <n v="110.36"/>
    <n v="3498.51"/>
    <x v="0"/>
  </r>
  <r>
    <s v="CUST0031"/>
    <s v="Male"/>
    <s v="No"/>
    <s v="Yes"/>
    <s v="Yes"/>
    <x v="24"/>
    <x v="0"/>
    <x v="2"/>
    <x v="3"/>
    <n v="39.119999999999997"/>
    <n v="432.01"/>
    <x v="0"/>
  </r>
  <r>
    <s v="CUST0032"/>
    <s v="Male"/>
    <s v="No"/>
    <s v="No"/>
    <s v="No"/>
    <x v="25"/>
    <x v="1"/>
    <x v="0"/>
    <x v="0"/>
    <n v="118.08"/>
    <n v="6417.09"/>
    <x v="1"/>
  </r>
  <r>
    <s v="CUST0033"/>
    <s v="Female"/>
    <s v="No"/>
    <s v="Yes"/>
    <s v="No"/>
    <x v="2"/>
    <x v="1"/>
    <x v="2"/>
    <x v="1"/>
    <n v="89.5"/>
    <n v="527.76"/>
    <x v="1"/>
  </r>
  <r>
    <s v="CUST0034"/>
    <s v="Female"/>
    <s v="No"/>
    <s v="Yes"/>
    <s v="No"/>
    <x v="26"/>
    <x v="1"/>
    <x v="2"/>
    <x v="3"/>
    <n v="98.86"/>
    <n v="1386.72"/>
    <x v="1"/>
  </r>
  <r>
    <s v="CUST0035"/>
    <s v="Female"/>
    <s v="No"/>
    <s v="No"/>
    <s v="No"/>
    <x v="19"/>
    <x v="1"/>
    <x v="0"/>
    <x v="0"/>
    <n v="56.76"/>
    <n v="1116.99"/>
    <x v="0"/>
  </r>
  <r>
    <s v="CUST0036"/>
    <s v="Male"/>
    <s v="No"/>
    <s v="Yes"/>
    <s v="No"/>
    <x v="25"/>
    <x v="1"/>
    <x v="0"/>
    <x v="1"/>
    <n v="81.81"/>
    <n v="4351.09"/>
    <x v="0"/>
  </r>
  <r>
    <s v="CUST0037"/>
    <s v="Female"/>
    <s v="No"/>
    <s v="Yes"/>
    <s v="Yes"/>
    <x v="27"/>
    <x v="2"/>
    <x v="0"/>
    <x v="1"/>
    <n v="87.47"/>
    <n v="1545.8"/>
    <x v="1"/>
  </r>
  <r>
    <s v="CUST0038"/>
    <s v="Male"/>
    <s v="No"/>
    <s v="No"/>
    <s v="Yes"/>
    <x v="28"/>
    <x v="1"/>
    <x v="2"/>
    <x v="1"/>
    <n v="76.37"/>
    <n v="2130.85"/>
    <x v="1"/>
  </r>
  <r>
    <s v="CUST0039"/>
    <s v="Male"/>
    <s v="No"/>
    <s v="Yes"/>
    <s v="Yes"/>
    <x v="29"/>
    <x v="2"/>
    <x v="0"/>
    <x v="0"/>
    <n v="87.39"/>
    <n v="2021.73"/>
    <x v="0"/>
  </r>
  <r>
    <s v="CUST0040"/>
    <s v="Male"/>
    <s v="Yes"/>
    <s v="Yes"/>
    <s v="Yes"/>
    <x v="30"/>
    <x v="0"/>
    <x v="2"/>
    <x v="3"/>
    <n v="63.09"/>
    <n v="4013.81"/>
    <x v="0"/>
  </r>
  <r>
    <s v="CUST0041"/>
    <s v="Male"/>
    <s v="No"/>
    <s v="Yes"/>
    <s v="No"/>
    <x v="0"/>
    <x v="2"/>
    <x v="2"/>
    <x v="3"/>
    <n v="73.38"/>
    <n v="4110.84"/>
    <x v="0"/>
  </r>
  <r>
    <s v="CUST0042"/>
    <s v="Male"/>
    <s v="No"/>
    <s v="No"/>
    <s v="No"/>
    <x v="31"/>
    <x v="0"/>
    <x v="1"/>
    <x v="3"/>
    <n v="80.84"/>
    <n v="469.19"/>
    <x v="1"/>
  </r>
  <r>
    <s v="CUST0043"/>
    <s v="Female"/>
    <s v="No"/>
    <s v="Yes"/>
    <s v="No"/>
    <x v="17"/>
    <x v="0"/>
    <x v="0"/>
    <x v="1"/>
    <n v="50.84"/>
    <n v="3180.27"/>
    <x v="0"/>
  </r>
  <r>
    <s v="CUST0044"/>
    <s v="Female"/>
    <s v="No"/>
    <s v="Yes"/>
    <s v="Yes"/>
    <x v="28"/>
    <x v="1"/>
    <x v="2"/>
    <x v="0"/>
    <n v="108.68"/>
    <n v="3024.84"/>
    <x v="0"/>
  </r>
  <r>
    <s v="CUST0045"/>
    <s v="Female"/>
    <s v="No"/>
    <s v="No"/>
    <s v="No"/>
    <x v="11"/>
    <x v="1"/>
    <x v="0"/>
    <x v="1"/>
    <n v="104.55"/>
    <n v="1469.18"/>
    <x v="1"/>
  </r>
  <r>
    <s v="CUST0046"/>
    <s v="Female"/>
    <s v="No"/>
    <s v="Yes"/>
    <s v="No"/>
    <x v="20"/>
    <x v="1"/>
    <x v="2"/>
    <x v="3"/>
    <n v="45.87"/>
    <n v="3007.55"/>
    <x v="0"/>
  </r>
  <r>
    <s v="CUST0047"/>
    <s v="Female"/>
    <s v="Yes"/>
    <s v="No"/>
    <s v="Yes"/>
    <x v="12"/>
    <x v="2"/>
    <x v="1"/>
    <x v="0"/>
    <n v="64.599999999999994"/>
    <n v="363.06"/>
    <x v="0"/>
  </r>
  <r>
    <s v="CUST0048"/>
    <s v="Male"/>
    <s v="No"/>
    <s v="No"/>
    <s v="No"/>
    <x v="32"/>
    <x v="2"/>
    <x v="2"/>
    <x v="2"/>
    <n v="92.54"/>
    <n v="5207.34"/>
    <x v="0"/>
  </r>
  <r>
    <s v="CUST0049"/>
    <s v="Female"/>
    <s v="No"/>
    <s v="Yes"/>
    <s v="No"/>
    <x v="14"/>
    <x v="1"/>
    <x v="2"/>
    <x v="2"/>
    <n v="39.119999999999997"/>
    <n v="2644.8"/>
    <x v="0"/>
  </r>
  <r>
    <s v="CUST0050"/>
    <s v="Female"/>
    <s v="No"/>
    <s v="No"/>
    <s v="Yes"/>
    <x v="13"/>
    <x v="1"/>
    <x v="0"/>
    <x v="0"/>
    <n v="81.05"/>
    <n v="2240.9699999999998"/>
    <x v="0"/>
  </r>
  <r>
    <s v="CUST0051"/>
    <s v="Male"/>
    <s v="No"/>
    <s v="No"/>
    <s v="No"/>
    <x v="17"/>
    <x v="1"/>
    <x v="0"/>
    <x v="1"/>
    <n v="78.040000000000006"/>
    <n v="4786.9799999999996"/>
    <x v="0"/>
  </r>
  <r>
    <s v="CUST0052"/>
    <s v="Female"/>
    <s v="No"/>
    <s v="Yes"/>
    <s v="No"/>
    <x v="33"/>
    <x v="0"/>
    <x v="0"/>
    <x v="3"/>
    <n v="63.86"/>
    <n v="2429.39"/>
    <x v="0"/>
  </r>
  <r>
    <s v="CUST0053"/>
    <s v="Male"/>
    <s v="No"/>
    <s v="No"/>
    <s v="Yes"/>
    <x v="14"/>
    <x v="1"/>
    <x v="2"/>
    <x v="3"/>
    <n v="72.31"/>
    <n v="5017.3599999999997"/>
    <x v="0"/>
  </r>
  <r>
    <s v="CUST0054"/>
    <s v="Female"/>
    <s v="No"/>
    <s v="No"/>
    <s v="No"/>
    <x v="33"/>
    <x v="0"/>
    <x v="2"/>
    <x v="1"/>
    <n v="54.99"/>
    <n v="2336.11"/>
    <x v="0"/>
  </r>
  <r>
    <s v="CUST0055"/>
    <s v="Male"/>
    <s v="No"/>
    <s v="Yes"/>
    <s v="No"/>
    <x v="34"/>
    <x v="2"/>
    <x v="0"/>
    <x v="0"/>
    <n v="114.36"/>
    <n v="5448.47"/>
    <x v="0"/>
  </r>
  <r>
    <s v="CUST0056"/>
    <s v="Female"/>
    <s v="No"/>
    <s v="Yes"/>
    <s v="No"/>
    <x v="34"/>
    <x v="1"/>
    <x v="2"/>
    <x v="3"/>
    <n v="54.33"/>
    <n v="2455.0500000000002"/>
    <x v="1"/>
  </r>
  <r>
    <s v="CUST0057"/>
    <s v="Female"/>
    <s v="Yes"/>
    <s v="Yes"/>
    <s v="No"/>
    <x v="35"/>
    <x v="1"/>
    <x v="1"/>
    <x v="1"/>
    <n v="74.8"/>
    <n v="5297.69"/>
    <x v="0"/>
  </r>
  <r>
    <s v="CUST0058"/>
    <s v="Male"/>
    <s v="Yes"/>
    <s v="No"/>
    <s v="No"/>
    <x v="36"/>
    <x v="1"/>
    <x v="2"/>
    <x v="0"/>
    <n v="28.62"/>
    <n v="14.31"/>
    <x v="1"/>
  </r>
  <r>
    <s v="CUST0059"/>
    <s v="Male"/>
    <s v="No"/>
    <s v="Yes"/>
    <s v="No"/>
    <x v="37"/>
    <x v="1"/>
    <x v="0"/>
    <x v="1"/>
    <n v="75.95"/>
    <n v="726.39"/>
    <x v="1"/>
  </r>
  <r>
    <s v="CUST0060"/>
    <s v="Male"/>
    <s v="No"/>
    <s v="No"/>
    <s v="No"/>
    <x v="38"/>
    <x v="1"/>
    <x v="0"/>
    <x v="0"/>
    <n v="80.31"/>
    <n v="2906.71"/>
    <x v="0"/>
  </r>
  <r>
    <s v="CUST0061"/>
    <s v="Male"/>
    <s v="No"/>
    <s v="No"/>
    <s v="Yes"/>
    <x v="39"/>
    <x v="1"/>
    <x v="2"/>
    <x v="1"/>
    <n v="65.14"/>
    <n v="32.57"/>
    <x v="1"/>
  </r>
  <r>
    <s v="CUST0062"/>
    <s v="Male"/>
    <s v="No"/>
    <s v="No"/>
    <s v="No"/>
    <x v="29"/>
    <x v="2"/>
    <x v="0"/>
    <x v="0"/>
    <n v="70.09"/>
    <n v="1548.34"/>
    <x v="0"/>
  </r>
  <r>
    <s v="CUST0063"/>
    <s v="Male"/>
    <s v="Yes"/>
    <s v="No"/>
    <s v="No"/>
    <x v="40"/>
    <x v="1"/>
    <x v="0"/>
    <x v="1"/>
    <n v="63.31"/>
    <n v="2326.91"/>
    <x v="0"/>
  </r>
  <r>
    <s v="CUST0064"/>
    <s v="Male"/>
    <s v="Yes"/>
    <s v="No"/>
    <s v="No"/>
    <x v="41"/>
    <x v="1"/>
    <x v="2"/>
    <x v="0"/>
    <n v="88.86"/>
    <n v="1969.39"/>
    <x v="0"/>
  </r>
  <r>
    <s v="CUST0065"/>
    <s v="Male"/>
    <s v="No"/>
    <s v="No"/>
    <s v="Yes"/>
    <x v="42"/>
    <x v="2"/>
    <x v="1"/>
    <x v="3"/>
    <n v="79.989999999999995"/>
    <n v="2284.1999999999998"/>
    <x v="0"/>
  </r>
  <r>
    <s v="CUST0066"/>
    <s v="Female"/>
    <s v="No"/>
    <s v="No"/>
    <s v="No"/>
    <x v="43"/>
    <x v="0"/>
    <x v="0"/>
    <x v="3"/>
    <n v="77.95"/>
    <n v="3293.67"/>
    <x v="0"/>
  </r>
  <r>
    <s v="CUST0067"/>
    <s v="Female"/>
    <s v="No"/>
    <s v="Yes"/>
    <s v="Yes"/>
    <x v="44"/>
    <x v="1"/>
    <x v="2"/>
    <x v="3"/>
    <n v="42.58"/>
    <n v="2168.7399999999998"/>
    <x v="0"/>
  </r>
  <r>
    <s v="CUST0068"/>
    <s v="Male"/>
    <s v="No"/>
    <s v="Yes"/>
    <s v="Yes"/>
    <x v="22"/>
    <x v="0"/>
    <x v="0"/>
    <x v="2"/>
    <n v="124.85"/>
    <n v="4716.66"/>
    <x v="0"/>
  </r>
  <r>
    <s v="CUST0069"/>
    <s v="Female"/>
    <s v="No"/>
    <s v="No"/>
    <s v="Yes"/>
    <x v="28"/>
    <x v="1"/>
    <x v="2"/>
    <x v="1"/>
    <n v="48.01"/>
    <n v="1282.29"/>
    <x v="0"/>
  </r>
  <r>
    <s v="CUST0070"/>
    <s v="Female"/>
    <s v="No"/>
    <s v="No"/>
    <s v="No"/>
    <x v="27"/>
    <x v="0"/>
    <x v="0"/>
    <x v="1"/>
    <n v="43.51"/>
    <n v="884.42"/>
    <x v="0"/>
  </r>
  <r>
    <s v="CUST0071"/>
    <s v="Female"/>
    <s v="No"/>
    <s v="Yes"/>
    <s v="No"/>
    <x v="33"/>
    <x v="0"/>
    <x v="0"/>
    <x v="3"/>
    <n v="29.68"/>
    <n v="1217.3499999999999"/>
    <x v="0"/>
  </r>
  <r>
    <s v="CUST0072"/>
    <s v="Female"/>
    <s v="No"/>
    <s v="No"/>
    <s v="No"/>
    <x v="25"/>
    <x v="0"/>
    <x v="0"/>
    <x v="0"/>
    <n v="82.49"/>
    <n v="4288.62"/>
    <x v="0"/>
  </r>
  <r>
    <s v="CUST0073"/>
    <s v="Male"/>
    <s v="No"/>
    <s v="Yes"/>
    <s v="Yes"/>
    <x v="27"/>
    <x v="1"/>
    <x v="1"/>
    <x v="1"/>
    <n v="49.56"/>
    <n v="874.96"/>
    <x v="0"/>
  </r>
  <r>
    <s v="CUST0074"/>
    <s v="Female"/>
    <s v="No"/>
    <s v="Yes"/>
    <s v="No"/>
    <x v="19"/>
    <x v="2"/>
    <x v="0"/>
    <x v="2"/>
    <n v="105.77"/>
    <n v="1875.06"/>
    <x v="0"/>
  </r>
  <r>
    <s v="CUST0075"/>
    <s v="Male"/>
    <s v="No"/>
    <s v="Yes"/>
    <s v="No"/>
    <x v="20"/>
    <x v="1"/>
    <x v="0"/>
    <x v="1"/>
    <n v="95.28"/>
    <n v="6174.05"/>
    <x v="0"/>
  </r>
  <r>
    <s v="CUST0076"/>
    <s v="Female"/>
    <s v="No"/>
    <s v="No"/>
    <s v="No"/>
    <x v="45"/>
    <x v="1"/>
    <x v="2"/>
    <x v="1"/>
    <n v="77.260000000000005"/>
    <n v="2237.16"/>
    <x v="0"/>
  </r>
  <r>
    <s v="CUST0077"/>
    <s v="Female"/>
    <s v="Yes"/>
    <s v="No"/>
    <s v="Yes"/>
    <x v="8"/>
    <x v="1"/>
    <x v="0"/>
    <x v="3"/>
    <n v="73.22"/>
    <n v="3811.35"/>
    <x v="1"/>
  </r>
  <r>
    <s v="CUST0078"/>
    <s v="Female"/>
    <s v="No"/>
    <s v="Yes"/>
    <s v="No"/>
    <x v="46"/>
    <x v="1"/>
    <x v="2"/>
    <x v="3"/>
    <n v="97.75"/>
    <n v="3324.54"/>
    <x v="0"/>
  </r>
  <r>
    <s v="CUST0079"/>
    <s v="Male"/>
    <s v="No"/>
    <s v="Yes"/>
    <s v="No"/>
    <x v="41"/>
    <x v="1"/>
    <x v="0"/>
    <x v="0"/>
    <n v="126.68"/>
    <n v="2628.58"/>
    <x v="1"/>
  </r>
  <r>
    <s v="CUST0080"/>
    <s v="Female"/>
    <s v="No"/>
    <s v="Yes"/>
    <s v="No"/>
    <x v="4"/>
    <x v="2"/>
    <x v="0"/>
    <x v="3"/>
    <n v="105.22"/>
    <n v="6901.03"/>
    <x v="0"/>
  </r>
  <r>
    <s v="CUST0081"/>
    <s v="Male"/>
    <s v="No"/>
    <s v="Yes"/>
    <s v="Yes"/>
    <x v="12"/>
    <x v="2"/>
    <x v="2"/>
    <x v="2"/>
    <n v="58.41"/>
    <n v="184.95"/>
    <x v="0"/>
  </r>
  <r>
    <s v="CUST0082"/>
    <s v="Female"/>
    <s v="No"/>
    <s v="Yes"/>
    <s v="Yes"/>
    <x v="10"/>
    <x v="1"/>
    <x v="2"/>
    <x v="2"/>
    <n v="89.54"/>
    <n v="2310.13"/>
    <x v="0"/>
  </r>
  <r>
    <s v="CUST0083"/>
    <s v="Male"/>
    <s v="No"/>
    <s v="No"/>
    <s v="No"/>
    <x v="37"/>
    <x v="1"/>
    <x v="0"/>
    <x v="1"/>
    <n v="69.95"/>
    <n v="650.04999999999995"/>
    <x v="0"/>
  </r>
  <r>
    <s v="CUST0084"/>
    <s v="Female"/>
    <s v="No"/>
    <s v="Yes"/>
    <s v="No"/>
    <x v="47"/>
    <x v="1"/>
    <x v="0"/>
    <x v="1"/>
    <n v="52.37"/>
    <n v="3632.71"/>
    <x v="0"/>
  </r>
  <r>
    <s v="CUST0085"/>
    <s v="Male"/>
    <s v="No"/>
    <s v="No"/>
    <s v="No"/>
    <x v="48"/>
    <x v="1"/>
    <x v="0"/>
    <x v="2"/>
    <n v="57.52"/>
    <n v="2676.05"/>
    <x v="1"/>
  </r>
  <r>
    <s v="CUST0086"/>
    <s v="Male"/>
    <s v="No"/>
    <s v="Yes"/>
    <s v="No"/>
    <x v="49"/>
    <x v="1"/>
    <x v="0"/>
    <x v="3"/>
    <n v="71.05"/>
    <n v="4995.2700000000004"/>
    <x v="0"/>
  </r>
  <r>
    <s v="CUST0087"/>
    <s v="Female"/>
    <s v="Yes"/>
    <s v="No"/>
    <s v="Yes"/>
    <x v="15"/>
    <x v="2"/>
    <x v="0"/>
    <x v="2"/>
    <n v="82.6"/>
    <n v="4842.66"/>
    <x v="0"/>
  </r>
  <r>
    <s v="CUST0088"/>
    <s v="Male"/>
    <s v="Yes"/>
    <s v="No"/>
    <s v="No"/>
    <x v="15"/>
    <x v="1"/>
    <x v="0"/>
    <x v="1"/>
    <n v="131.51"/>
    <n v="7657.45"/>
    <x v="1"/>
  </r>
  <r>
    <s v="CUST0089"/>
    <s v="Female"/>
    <s v="Yes"/>
    <s v="No"/>
    <s v="No"/>
    <x v="39"/>
    <x v="1"/>
    <x v="2"/>
    <x v="1"/>
    <n v="47.96"/>
    <n v="97.66"/>
    <x v="1"/>
  </r>
  <r>
    <s v="CUST0090"/>
    <s v="Female"/>
    <s v="Yes"/>
    <s v="No"/>
    <s v="No"/>
    <x v="28"/>
    <x v="1"/>
    <x v="2"/>
    <x v="3"/>
    <n v="103.09"/>
    <n v="2840.62"/>
    <x v="0"/>
  </r>
  <r>
    <s v="CUST0091"/>
    <s v="Female"/>
    <s v="Yes"/>
    <s v="No"/>
    <s v="No"/>
    <x v="23"/>
    <x v="2"/>
    <x v="0"/>
    <x v="1"/>
    <n v="72.069999999999993"/>
    <n v="4772.1400000000003"/>
    <x v="0"/>
  </r>
  <r>
    <s v="CUST0092"/>
    <s v="Female"/>
    <s v="No"/>
    <s v="No"/>
    <s v="No"/>
    <x v="50"/>
    <x v="0"/>
    <x v="0"/>
    <x v="0"/>
    <n v="29.59"/>
    <n v="1995.51"/>
    <x v="0"/>
  </r>
  <r>
    <s v="CUST0093"/>
    <s v="Female"/>
    <s v="No"/>
    <s v="Yes"/>
    <s v="Yes"/>
    <x v="42"/>
    <x v="2"/>
    <x v="2"/>
    <x v="1"/>
    <n v="57.36"/>
    <n v="1500.29"/>
    <x v="1"/>
  </r>
  <r>
    <s v="CUST0094"/>
    <s v="Female"/>
    <s v="No"/>
    <s v="No"/>
    <s v="No"/>
    <x v="37"/>
    <x v="0"/>
    <x v="0"/>
    <x v="1"/>
    <n v="109.42"/>
    <n v="925.08"/>
    <x v="1"/>
  </r>
  <r>
    <s v="CUST0095"/>
    <s v="Female"/>
    <s v="No"/>
    <s v="Yes"/>
    <s v="Yes"/>
    <x v="8"/>
    <x v="1"/>
    <x v="2"/>
    <x v="2"/>
    <n v="78.62"/>
    <n v="3937.94"/>
    <x v="1"/>
  </r>
  <r>
    <s v="CUST0096"/>
    <s v="Female"/>
    <s v="No"/>
    <s v="No"/>
    <s v="No"/>
    <x v="15"/>
    <x v="1"/>
    <x v="0"/>
    <x v="2"/>
    <n v="90.11"/>
    <n v="5168.34"/>
    <x v="0"/>
  </r>
  <r>
    <s v="CUST0097"/>
    <s v="Female"/>
    <s v="No"/>
    <s v="No"/>
    <s v="No"/>
    <x v="41"/>
    <x v="0"/>
    <x v="0"/>
    <x v="1"/>
    <n v="113.21"/>
    <n v="2420.89"/>
    <x v="0"/>
  </r>
  <r>
    <s v="CUST0098"/>
    <s v="Female"/>
    <s v="No"/>
    <s v="Yes"/>
    <s v="No"/>
    <x v="6"/>
    <x v="1"/>
    <x v="0"/>
    <x v="1"/>
    <n v="54.09"/>
    <n v="2651.84"/>
    <x v="0"/>
  </r>
  <r>
    <s v="CUST0099"/>
    <s v="Female"/>
    <s v="No"/>
    <s v="No"/>
    <s v="No"/>
    <x v="48"/>
    <x v="0"/>
    <x v="0"/>
    <x v="3"/>
    <n v="53.71"/>
    <n v="2550.7800000000002"/>
    <x v="0"/>
  </r>
  <r>
    <s v="CUST0100"/>
    <s v="Male"/>
    <s v="Yes"/>
    <s v="Yes"/>
    <s v="No"/>
    <x v="51"/>
    <x v="1"/>
    <x v="2"/>
    <x v="1"/>
    <n v="20"/>
    <n v="513.58000000000004"/>
    <x v="0"/>
  </r>
  <r>
    <s v="CUST0101"/>
    <s v="Male"/>
    <s v="No"/>
    <s v="Yes"/>
    <s v="No"/>
    <x v="41"/>
    <x v="1"/>
    <x v="1"/>
    <x v="0"/>
    <n v="76.930000000000007"/>
    <n v="1608.09"/>
    <x v="0"/>
  </r>
  <r>
    <s v="CUST0102"/>
    <s v="Female"/>
    <s v="No"/>
    <s v="Yes"/>
    <s v="No"/>
    <x v="45"/>
    <x v="1"/>
    <x v="0"/>
    <x v="3"/>
    <n v="94.06"/>
    <n v="2746.46"/>
    <x v="0"/>
  </r>
  <r>
    <s v="CUST0103"/>
    <s v="Female"/>
    <s v="No"/>
    <s v="Yes"/>
    <s v="Yes"/>
    <x v="52"/>
    <x v="0"/>
    <x v="0"/>
    <x v="1"/>
    <n v="98.1"/>
    <n v="2409.19"/>
    <x v="1"/>
  </r>
  <r>
    <s v="CUST0104"/>
    <s v="Female"/>
    <s v="Yes"/>
    <s v="No"/>
    <s v="No"/>
    <x v="13"/>
    <x v="0"/>
    <x v="0"/>
    <x v="3"/>
    <n v="50.42"/>
    <n v="1274.77"/>
    <x v="0"/>
  </r>
  <r>
    <s v="CUST0105"/>
    <s v="Female"/>
    <s v="Yes"/>
    <s v="No"/>
    <s v="No"/>
    <x v="50"/>
    <x v="1"/>
    <x v="0"/>
    <x v="1"/>
    <n v="39.89"/>
    <n v="2491.12"/>
    <x v="0"/>
  </r>
  <r>
    <s v="CUST0106"/>
    <s v="Female"/>
    <s v="No"/>
    <s v="Yes"/>
    <s v="No"/>
    <x v="53"/>
    <x v="1"/>
    <x v="0"/>
    <x v="0"/>
    <n v="47.01"/>
    <n v="2126.5300000000002"/>
    <x v="0"/>
  </r>
  <r>
    <s v="CUST0107"/>
    <s v="Female"/>
    <s v="No"/>
    <s v="No"/>
    <s v="No"/>
    <x v="23"/>
    <x v="1"/>
    <x v="0"/>
    <x v="0"/>
    <n v="56.94"/>
    <n v="3817.94"/>
    <x v="0"/>
  </r>
  <r>
    <s v="CUST0108"/>
    <s v="Female"/>
    <s v="No"/>
    <s v="No"/>
    <s v="No"/>
    <x v="2"/>
    <x v="1"/>
    <x v="2"/>
    <x v="3"/>
    <n v="108.85"/>
    <n v="662.84"/>
    <x v="1"/>
  </r>
  <r>
    <s v="CUST0109"/>
    <s v="Female"/>
    <s v="No"/>
    <s v="Yes"/>
    <s v="Yes"/>
    <x v="34"/>
    <x v="1"/>
    <x v="2"/>
    <x v="1"/>
    <n v="95"/>
    <n v="4562.66"/>
    <x v="0"/>
  </r>
  <r>
    <s v="CUST0110"/>
    <s v="Male"/>
    <s v="No"/>
    <s v="No"/>
    <s v="No"/>
    <x v="54"/>
    <x v="1"/>
    <x v="0"/>
    <x v="0"/>
    <n v="68.540000000000006"/>
    <n v="626.58000000000004"/>
    <x v="0"/>
  </r>
  <r>
    <s v="CUST0111"/>
    <s v="Female"/>
    <s v="Yes"/>
    <s v="Yes"/>
    <s v="Yes"/>
    <x v="55"/>
    <x v="1"/>
    <x v="2"/>
    <x v="3"/>
    <n v="77.48"/>
    <n v="2746.66"/>
    <x v="1"/>
  </r>
  <r>
    <s v="CUST0112"/>
    <s v="Male"/>
    <s v="No"/>
    <s v="Yes"/>
    <s v="Yes"/>
    <x v="56"/>
    <x v="1"/>
    <x v="0"/>
    <x v="0"/>
    <n v="63.04"/>
    <n v="35.909999999999997"/>
    <x v="1"/>
  </r>
  <r>
    <s v="CUST0113"/>
    <s v="Female"/>
    <s v="No"/>
    <s v="No"/>
    <s v="Yes"/>
    <x v="37"/>
    <x v="1"/>
    <x v="2"/>
    <x v="0"/>
    <n v="79.11"/>
    <n v="809.77"/>
    <x v="1"/>
  </r>
  <r>
    <s v="CUST0114"/>
    <s v="Female"/>
    <s v="Yes"/>
    <s v="No"/>
    <s v="No"/>
    <x v="55"/>
    <x v="1"/>
    <x v="0"/>
    <x v="1"/>
    <n v="51.55"/>
    <n v="1932.78"/>
    <x v="1"/>
  </r>
  <r>
    <s v="CUST0115"/>
    <s v="Male"/>
    <s v="No"/>
    <s v="No"/>
    <s v="No"/>
    <x v="47"/>
    <x v="1"/>
    <x v="1"/>
    <x v="2"/>
    <n v="73.760000000000005"/>
    <n v="5490.21"/>
    <x v="0"/>
  </r>
  <r>
    <s v="CUST0116"/>
    <s v="Female"/>
    <s v="No"/>
    <s v="Yes"/>
    <s v="Yes"/>
    <x v="57"/>
    <x v="1"/>
    <x v="1"/>
    <x v="1"/>
    <n v="33.76"/>
    <n v="1472.88"/>
    <x v="0"/>
  </r>
  <r>
    <s v="CUST0117"/>
    <s v="Male"/>
    <s v="Yes"/>
    <s v="Yes"/>
    <s v="No"/>
    <x v="58"/>
    <x v="1"/>
    <x v="0"/>
    <x v="1"/>
    <n v="100.15"/>
    <n v="3302.2"/>
    <x v="1"/>
  </r>
  <r>
    <s v="CUST0118"/>
    <s v="Female"/>
    <s v="No"/>
    <s v="No"/>
    <s v="No"/>
    <x v="58"/>
    <x v="0"/>
    <x v="0"/>
    <x v="2"/>
    <n v="69.31"/>
    <n v="2060.87"/>
    <x v="0"/>
  </r>
  <r>
    <s v="CUST0119"/>
    <s v="Female"/>
    <s v="No"/>
    <s v="No"/>
    <s v="Yes"/>
    <x v="12"/>
    <x v="1"/>
    <x v="1"/>
    <x v="1"/>
    <n v="35.25"/>
    <n v="331.07"/>
    <x v="1"/>
  </r>
  <r>
    <s v="CUST0120"/>
    <s v="Male"/>
    <s v="No"/>
    <s v="No"/>
    <s v="No"/>
    <x v="48"/>
    <x v="1"/>
    <x v="0"/>
    <x v="3"/>
    <n v="120.32"/>
    <n v="5604.32"/>
    <x v="0"/>
  </r>
  <r>
    <s v="CUST0121"/>
    <s v="Female"/>
    <s v="No"/>
    <s v="No"/>
    <s v="No"/>
    <x v="40"/>
    <x v="1"/>
    <x v="2"/>
    <x v="3"/>
    <n v="74.42"/>
    <n v="2748.02"/>
    <x v="0"/>
  </r>
  <r>
    <s v="CUST0122"/>
    <s v="Male"/>
    <s v="No"/>
    <s v="Yes"/>
    <s v="No"/>
    <x v="11"/>
    <x v="0"/>
    <x v="1"/>
    <x v="2"/>
    <n v="46.95"/>
    <n v="752.69"/>
    <x v="0"/>
  </r>
  <r>
    <s v="CUST0123"/>
    <s v="Female"/>
    <s v="No"/>
    <s v="No"/>
    <s v="No"/>
    <x v="10"/>
    <x v="2"/>
    <x v="0"/>
    <x v="3"/>
    <n v="98.95"/>
    <n v="2503.34"/>
    <x v="0"/>
  </r>
  <r>
    <s v="CUST0124"/>
    <s v="Male"/>
    <s v="No"/>
    <s v="Yes"/>
    <s v="No"/>
    <x v="25"/>
    <x v="0"/>
    <x v="0"/>
    <x v="2"/>
    <n v="46.5"/>
    <n v="2471.44"/>
    <x v="0"/>
  </r>
  <r>
    <s v="CUST0125"/>
    <s v="Male"/>
    <s v="No"/>
    <s v="Yes"/>
    <s v="No"/>
    <x v="18"/>
    <x v="0"/>
    <x v="2"/>
    <x v="1"/>
    <n v="97.67"/>
    <n v="4720.6000000000004"/>
    <x v="1"/>
  </r>
  <r>
    <s v="CUST0126"/>
    <s v="Female"/>
    <s v="No"/>
    <s v="No"/>
    <s v="No"/>
    <x v="38"/>
    <x v="1"/>
    <x v="2"/>
    <x v="2"/>
    <n v="66.510000000000005"/>
    <n v="2162.54"/>
    <x v="0"/>
  </r>
  <r>
    <s v="CUST0127"/>
    <s v="Female"/>
    <s v="No"/>
    <s v="No"/>
    <s v="No"/>
    <x v="52"/>
    <x v="0"/>
    <x v="0"/>
    <x v="1"/>
    <n v="95.02"/>
    <n v="2277.38"/>
    <x v="0"/>
  </r>
  <r>
    <s v="CUST0128"/>
    <s v="Male"/>
    <s v="No"/>
    <s v="No"/>
    <s v="Yes"/>
    <x v="13"/>
    <x v="0"/>
    <x v="0"/>
    <x v="1"/>
    <n v="41.3"/>
    <n v="1242.29"/>
    <x v="1"/>
  </r>
  <r>
    <s v="CUST0129"/>
    <s v="Female"/>
    <s v="Yes"/>
    <s v="Yes"/>
    <s v="No"/>
    <x v="59"/>
    <x v="1"/>
    <x v="2"/>
    <x v="3"/>
    <n v="60.44"/>
    <n v="825.84"/>
    <x v="0"/>
  </r>
  <r>
    <s v="CUST0130"/>
    <s v="Female"/>
    <s v="No"/>
    <s v="No"/>
    <s v="No"/>
    <x v="60"/>
    <x v="1"/>
    <x v="2"/>
    <x v="0"/>
    <n v="70.11"/>
    <n v="285.61"/>
    <x v="0"/>
  </r>
  <r>
    <s v="CUST0131"/>
    <s v="Female"/>
    <s v="No"/>
    <s v="No"/>
    <s v="Yes"/>
    <x v="47"/>
    <x v="1"/>
    <x v="0"/>
    <x v="3"/>
    <n v="105.76"/>
    <n v="7547.07"/>
    <x v="0"/>
  </r>
  <r>
    <s v="CUST0132"/>
    <s v="Male"/>
    <s v="No"/>
    <s v="Yes"/>
    <s v="Yes"/>
    <x v="10"/>
    <x v="2"/>
    <x v="0"/>
    <x v="1"/>
    <n v="97.01"/>
    <n v="2419.58"/>
    <x v="1"/>
  </r>
  <r>
    <s v="CUST0133"/>
    <s v="Male"/>
    <s v="No"/>
    <s v="No"/>
    <s v="No"/>
    <x v="42"/>
    <x v="1"/>
    <x v="2"/>
    <x v="2"/>
    <n v="60.19"/>
    <n v="1541.06"/>
    <x v="1"/>
  </r>
  <r>
    <s v="CUST0134"/>
    <s v="Male"/>
    <s v="No"/>
    <s v="Yes"/>
    <s v="No"/>
    <x v="19"/>
    <x v="0"/>
    <x v="1"/>
    <x v="1"/>
    <n v="62.95"/>
    <n v="1273.55"/>
    <x v="0"/>
  </r>
  <r>
    <s v="CUST0135"/>
    <s v="Male"/>
    <s v="Yes"/>
    <s v="No"/>
    <s v="No"/>
    <x v="11"/>
    <x v="1"/>
    <x v="2"/>
    <x v="2"/>
    <n v="101.41"/>
    <n v="1639.28"/>
    <x v="1"/>
  </r>
  <r>
    <s v="CUST0136"/>
    <s v="Male"/>
    <s v="No"/>
    <s v="Yes"/>
    <s v="No"/>
    <x v="43"/>
    <x v="1"/>
    <x v="0"/>
    <x v="2"/>
    <n v="75"/>
    <n v="3216.13"/>
    <x v="0"/>
  </r>
  <r>
    <s v="CUST0137"/>
    <s v="Male"/>
    <s v="No"/>
    <s v="No"/>
    <s v="Yes"/>
    <x v="33"/>
    <x v="1"/>
    <x v="0"/>
    <x v="2"/>
    <n v="72.28"/>
    <n v="3010.81"/>
    <x v="1"/>
  </r>
  <r>
    <s v="CUST0138"/>
    <s v="Male"/>
    <s v="No"/>
    <s v="No"/>
    <s v="No"/>
    <x v="61"/>
    <x v="1"/>
    <x v="2"/>
    <x v="1"/>
    <n v="22.76"/>
    <n v="930.24"/>
    <x v="0"/>
  </r>
  <r>
    <s v="CUST0139"/>
    <s v="Male"/>
    <s v="No"/>
    <s v="Yes"/>
    <s v="Yes"/>
    <x v="18"/>
    <x v="2"/>
    <x v="0"/>
    <x v="1"/>
    <n v="73.02"/>
    <n v="3565.81"/>
    <x v="0"/>
  </r>
  <r>
    <s v="CUST0140"/>
    <s v="Male"/>
    <s v="No"/>
    <s v="Yes"/>
    <s v="No"/>
    <x v="62"/>
    <x v="0"/>
    <x v="0"/>
    <x v="1"/>
    <n v="36.51"/>
    <n v="1461.66"/>
    <x v="0"/>
  </r>
  <r>
    <s v="CUST0141"/>
    <s v="Female"/>
    <s v="Yes"/>
    <s v="No"/>
    <s v="No"/>
    <x v="22"/>
    <x v="1"/>
    <x v="0"/>
    <x v="2"/>
    <n v="77.14"/>
    <n v="2983.32"/>
    <x v="1"/>
  </r>
  <r>
    <s v="CUST0142"/>
    <s v="Male"/>
    <s v="No"/>
    <s v="Yes"/>
    <s v="No"/>
    <x v="63"/>
    <x v="2"/>
    <x v="2"/>
    <x v="3"/>
    <n v="94.7"/>
    <n v="1971.48"/>
    <x v="0"/>
  </r>
  <r>
    <s v="CUST0143"/>
    <s v="Female"/>
    <s v="No"/>
    <s v="Yes"/>
    <s v="No"/>
    <x v="64"/>
    <x v="1"/>
    <x v="2"/>
    <x v="1"/>
    <n v="20"/>
    <n v="1043.6600000000001"/>
    <x v="0"/>
  </r>
  <r>
    <s v="CUST0144"/>
    <s v="Female"/>
    <s v="No"/>
    <s v="Yes"/>
    <s v="No"/>
    <x v="21"/>
    <x v="2"/>
    <x v="2"/>
    <x v="2"/>
    <n v="100.86"/>
    <n v="4639.51"/>
    <x v="0"/>
  </r>
  <r>
    <s v="CUST0145"/>
    <s v="Female"/>
    <s v="Yes"/>
    <s v="Yes"/>
    <s v="No"/>
    <x v="30"/>
    <x v="1"/>
    <x v="0"/>
    <x v="3"/>
    <n v="71.739999999999995"/>
    <n v="4384.72"/>
    <x v="0"/>
  </r>
  <r>
    <s v="CUST0146"/>
    <s v="Male"/>
    <s v="No"/>
    <s v="No"/>
    <s v="No"/>
    <x v="14"/>
    <x v="1"/>
    <x v="0"/>
    <x v="0"/>
    <n v="79.319999999999993"/>
    <n v="5388.18"/>
    <x v="0"/>
  </r>
  <r>
    <s v="CUST0147"/>
    <s v="Male"/>
    <s v="No"/>
    <s v="No"/>
    <s v="No"/>
    <x v="43"/>
    <x v="1"/>
    <x v="0"/>
    <x v="2"/>
    <n v="67.44"/>
    <n v="2739.25"/>
    <x v="0"/>
  </r>
  <r>
    <s v="CUST0148"/>
    <s v="Male"/>
    <s v="No"/>
    <s v="Yes"/>
    <s v="No"/>
    <x v="48"/>
    <x v="1"/>
    <x v="0"/>
    <x v="3"/>
    <n v="37.17"/>
    <n v="1626.12"/>
    <x v="1"/>
  </r>
  <r>
    <s v="CUST0149"/>
    <s v="Male"/>
    <s v="No"/>
    <s v="Yes"/>
    <s v="No"/>
    <x v="46"/>
    <x v="1"/>
    <x v="1"/>
    <x v="1"/>
    <n v="35.43"/>
    <n v="1174.54"/>
    <x v="0"/>
  </r>
  <r>
    <s v="CUST0150"/>
    <s v="Female"/>
    <s v="No"/>
    <s v="Yes"/>
    <s v="No"/>
    <x v="62"/>
    <x v="0"/>
    <x v="0"/>
    <x v="1"/>
    <n v="132.44"/>
    <n v="5237.33"/>
    <x v="0"/>
  </r>
  <r>
    <s v="CUST0151"/>
    <s v="Male"/>
    <s v="Yes"/>
    <s v="Yes"/>
    <s v="No"/>
    <x v="65"/>
    <x v="2"/>
    <x v="2"/>
    <x v="1"/>
    <n v="42.6"/>
    <n v="2528.2199999999998"/>
    <x v="0"/>
  </r>
  <r>
    <s v="CUST0152"/>
    <s v="Male"/>
    <s v="No"/>
    <s v="No"/>
    <s v="Yes"/>
    <x v="18"/>
    <x v="0"/>
    <x v="2"/>
    <x v="3"/>
    <n v="30.29"/>
    <n v="1407.35"/>
    <x v="0"/>
  </r>
  <r>
    <s v="CUST0153"/>
    <s v="Male"/>
    <s v="No"/>
    <s v="No"/>
    <s v="No"/>
    <x v="4"/>
    <x v="1"/>
    <x v="0"/>
    <x v="3"/>
    <n v="83.53"/>
    <n v="5448.56"/>
    <x v="0"/>
  </r>
  <r>
    <s v="CUST0154"/>
    <s v="Male"/>
    <s v="No"/>
    <s v="Yes"/>
    <s v="No"/>
    <x v="17"/>
    <x v="1"/>
    <x v="2"/>
    <x v="2"/>
    <n v="67.86"/>
    <n v="4183.38"/>
    <x v="0"/>
  </r>
  <r>
    <s v="CUST0155"/>
    <s v="Male"/>
    <s v="No"/>
    <s v="Yes"/>
    <s v="Yes"/>
    <x v="32"/>
    <x v="1"/>
    <x v="2"/>
    <x v="1"/>
    <n v="61.92"/>
    <n v="3662.83"/>
    <x v="1"/>
  </r>
  <r>
    <s v="CUST0156"/>
    <s v="Female"/>
    <s v="Yes"/>
    <s v="Yes"/>
    <s v="Yes"/>
    <x v="16"/>
    <x v="1"/>
    <x v="0"/>
    <x v="0"/>
    <n v="80.36"/>
    <n v="2633.16"/>
    <x v="0"/>
  </r>
  <r>
    <s v="CUST0157"/>
    <s v="Male"/>
    <s v="No"/>
    <s v="No"/>
    <s v="Yes"/>
    <x v="5"/>
    <x v="0"/>
    <x v="0"/>
    <x v="1"/>
    <n v="96.11"/>
    <n v="1545.71"/>
    <x v="0"/>
  </r>
  <r>
    <s v="CUST0158"/>
    <s v="Female"/>
    <s v="No"/>
    <s v="Yes"/>
    <s v="No"/>
    <x v="48"/>
    <x v="1"/>
    <x v="2"/>
    <x v="1"/>
    <n v="55.32"/>
    <n v="2516.23"/>
    <x v="0"/>
  </r>
  <r>
    <s v="CUST0159"/>
    <s v="Male"/>
    <s v="No"/>
    <s v="No"/>
    <s v="No"/>
    <x v="37"/>
    <x v="1"/>
    <x v="0"/>
    <x v="2"/>
    <n v="84.86"/>
    <n v="757.83"/>
    <x v="1"/>
  </r>
  <r>
    <s v="CUST0160"/>
    <s v="Female"/>
    <s v="No"/>
    <s v="Yes"/>
    <s v="No"/>
    <x v="40"/>
    <x v="1"/>
    <x v="0"/>
    <x v="3"/>
    <n v="105.6"/>
    <n v="3988.7"/>
    <x v="0"/>
  </r>
  <r>
    <s v="CUST0161"/>
    <s v="Male"/>
    <s v="No"/>
    <s v="No"/>
    <s v="No"/>
    <x v="19"/>
    <x v="2"/>
    <x v="0"/>
    <x v="3"/>
    <n v="55.12"/>
    <n v="880.23"/>
    <x v="0"/>
  </r>
  <r>
    <s v="CUST0162"/>
    <s v="Male"/>
    <s v="No"/>
    <s v="Yes"/>
    <s v="No"/>
    <x v="55"/>
    <x v="1"/>
    <x v="2"/>
    <x v="2"/>
    <n v="20"/>
    <n v="647.33000000000004"/>
    <x v="0"/>
  </r>
  <r>
    <s v="CUST0163"/>
    <s v="Female"/>
    <s v="No"/>
    <s v="No"/>
    <s v="No"/>
    <x v="15"/>
    <x v="1"/>
    <x v="2"/>
    <x v="1"/>
    <n v="86.77"/>
    <n v="5108.0200000000004"/>
    <x v="0"/>
  </r>
  <r>
    <s v="CUST0164"/>
    <s v="Female"/>
    <s v="No"/>
    <s v="Yes"/>
    <s v="No"/>
    <x v="30"/>
    <x v="1"/>
    <x v="0"/>
    <x v="1"/>
    <n v="140"/>
    <n v="8700.67"/>
    <x v="0"/>
  </r>
  <r>
    <s v="CUST0165"/>
    <s v="Female"/>
    <s v="Yes"/>
    <s v="Yes"/>
    <s v="No"/>
    <x v="57"/>
    <x v="1"/>
    <x v="0"/>
    <x v="1"/>
    <n v="79.819999999999993"/>
    <n v="3514.69"/>
    <x v="0"/>
  </r>
  <r>
    <s v="CUST0166"/>
    <s v="Male"/>
    <s v="Yes"/>
    <s v="Yes"/>
    <s v="No"/>
    <x v="36"/>
    <x v="1"/>
    <x v="1"/>
    <x v="2"/>
    <n v="60.05"/>
    <n v="30.024999999999999"/>
    <x v="0"/>
  </r>
  <r>
    <s v="CUST0167"/>
    <s v="Female"/>
    <s v="No"/>
    <s v="No"/>
    <s v="No"/>
    <x v="50"/>
    <x v="1"/>
    <x v="0"/>
    <x v="3"/>
    <n v="72.599999999999994"/>
    <n v="4753.3900000000003"/>
    <x v="0"/>
  </r>
  <r>
    <s v="CUST0168"/>
    <s v="Male"/>
    <s v="No"/>
    <s v="Yes"/>
    <s v="Yes"/>
    <x v="31"/>
    <x v="0"/>
    <x v="2"/>
    <x v="0"/>
    <n v="109.7"/>
    <n v="603.63"/>
    <x v="0"/>
  </r>
  <r>
    <s v="CUST0169"/>
    <s v="Male"/>
    <s v="No"/>
    <s v="No"/>
    <s v="No"/>
    <x v="6"/>
    <x v="1"/>
    <x v="2"/>
    <x v="0"/>
    <n v="68.06"/>
    <n v="3453.59"/>
    <x v="0"/>
  </r>
  <r>
    <s v="CUST0170"/>
    <s v="Female"/>
    <s v="No"/>
    <s v="No"/>
    <s v="No"/>
    <x v="47"/>
    <x v="0"/>
    <x v="0"/>
    <x v="1"/>
    <n v="75.34"/>
    <n v="5381.84"/>
    <x v="0"/>
  </r>
  <r>
    <s v="CUST0171"/>
    <s v="Female"/>
    <s v="No"/>
    <s v="Yes"/>
    <s v="No"/>
    <x v="12"/>
    <x v="2"/>
    <x v="2"/>
    <x v="1"/>
    <n v="92.77"/>
    <n v="547.62"/>
    <x v="0"/>
  </r>
  <r>
    <s v="CUST0172"/>
    <s v="Male"/>
    <s v="No"/>
    <s v="Yes"/>
    <s v="Yes"/>
    <x v="22"/>
    <x v="0"/>
    <x v="2"/>
    <x v="0"/>
    <n v="57.89"/>
    <n v="2116.4499999999998"/>
    <x v="0"/>
  </r>
  <r>
    <s v="CUST0173"/>
    <s v="Male"/>
    <s v="Yes"/>
    <s v="Yes"/>
    <s v="Yes"/>
    <x v="66"/>
    <x v="1"/>
    <x v="0"/>
    <x v="1"/>
    <n v="47.88"/>
    <n v="3034.1"/>
    <x v="1"/>
  </r>
  <r>
    <s v="CUST0174"/>
    <s v="Female"/>
    <s v="No"/>
    <s v="No"/>
    <s v="No"/>
    <x v="13"/>
    <x v="1"/>
    <x v="2"/>
    <x v="0"/>
    <n v="92.06"/>
    <n v="2517.8000000000002"/>
    <x v="1"/>
  </r>
  <r>
    <s v="CUST0175"/>
    <s v="Female"/>
    <s v="No"/>
    <s v="Yes"/>
    <s v="Yes"/>
    <x v="25"/>
    <x v="0"/>
    <x v="2"/>
    <x v="3"/>
    <n v="55.21"/>
    <n v="2971.5"/>
    <x v="0"/>
  </r>
  <r>
    <s v="CUST0176"/>
    <s v="Female"/>
    <s v="No"/>
    <s v="No"/>
    <s v="No"/>
    <x v="67"/>
    <x v="0"/>
    <x v="0"/>
    <x v="2"/>
    <n v="55.61"/>
    <n v="1940.12"/>
    <x v="0"/>
  </r>
  <r>
    <s v="CUST0177"/>
    <s v="Male"/>
    <s v="Yes"/>
    <s v="No"/>
    <s v="Yes"/>
    <x v="54"/>
    <x v="1"/>
    <x v="2"/>
    <x v="1"/>
    <n v="122.5"/>
    <n v="969.33"/>
    <x v="1"/>
  </r>
  <r>
    <s v="CUST0178"/>
    <s v="Male"/>
    <s v="No"/>
    <s v="Yes"/>
    <s v="No"/>
    <x v="3"/>
    <x v="0"/>
    <x v="2"/>
    <x v="1"/>
    <n v="65.540000000000006"/>
    <n v="3596.1"/>
    <x v="0"/>
  </r>
  <r>
    <s v="CUST0179"/>
    <s v="Male"/>
    <s v="No"/>
    <s v="Yes"/>
    <s v="No"/>
    <x v="15"/>
    <x v="1"/>
    <x v="0"/>
    <x v="0"/>
    <n v="92.36"/>
    <n v="5500.57"/>
    <x v="0"/>
  </r>
  <r>
    <s v="CUST0180"/>
    <s v="Male"/>
    <s v="No"/>
    <s v="Yes"/>
    <s v="No"/>
    <x v="39"/>
    <x v="1"/>
    <x v="0"/>
    <x v="0"/>
    <n v="80.739999999999995"/>
    <n v="112.79"/>
    <x v="1"/>
  </r>
  <r>
    <s v="CUST0181"/>
    <s v="Male"/>
    <s v="No"/>
    <s v="Yes"/>
    <s v="No"/>
    <x v="65"/>
    <x v="1"/>
    <x v="2"/>
    <x v="0"/>
    <n v="47.84"/>
    <n v="2913.91"/>
    <x v="0"/>
  </r>
  <r>
    <s v="CUST0182"/>
    <s v="Male"/>
    <s v="No"/>
    <s v="Yes"/>
    <s v="Yes"/>
    <x v="32"/>
    <x v="1"/>
    <x v="0"/>
    <x v="0"/>
    <n v="97.24"/>
    <n v="5585.29"/>
    <x v="0"/>
  </r>
  <r>
    <s v="CUST0183"/>
    <s v="Female"/>
    <s v="No"/>
    <s v="Yes"/>
    <s v="Yes"/>
    <x v="66"/>
    <x v="1"/>
    <x v="0"/>
    <x v="2"/>
    <n v="87.86"/>
    <n v="5234.03"/>
    <x v="0"/>
  </r>
  <r>
    <s v="CUST0184"/>
    <s v="Male"/>
    <s v="No"/>
    <s v="No"/>
    <s v="No"/>
    <x v="62"/>
    <x v="0"/>
    <x v="0"/>
    <x v="3"/>
    <n v="63.52"/>
    <n v="2366.12"/>
    <x v="0"/>
  </r>
  <r>
    <s v="CUST0185"/>
    <s v="Male"/>
    <s v="No"/>
    <s v="No"/>
    <s v="No"/>
    <x v="55"/>
    <x v="1"/>
    <x v="1"/>
    <x v="1"/>
    <n v="65.83"/>
    <n v="2467.9899999999998"/>
    <x v="1"/>
  </r>
  <r>
    <s v="CUST0186"/>
    <s v="Male"/>
    <s v="No"/>
    <s v="No"/>
    <s v="No"/>
    <x v="67"/>
    <x v="1"/>
    <x v="0"/>
    <x v="3"/>
    <n v="67.14"/>
    <n v="2346.84"/>
    <x v="1"/>
  </r>
  <r>
    <s v="CUST0187"/>
    <s v="Female"/>
    <s v="No"/>
    <s v="Yes"/>
    <s v="No"/>
    <x v="68"/>
    <x v="1"/>
    <x v="0"/>
    <x v="1"/>
    <n v="52.39"/>
    <n v="887.56"/>
    <x v="1"/>
  </r>
  <r>
    <s v="CUST0188"/>
    <s v="Male"/>
    <s v="No"/>
    <s v="No"/>
    <s v="No"/>
    <x v="30"/>
    <x v="1"/>
    <x v="2"/>
    <x v="1"/>
    <n v="39.86"/>
    <n v="2593.84"/>
    <x v="0"/>
  </r>
  <r>
    <s v="CUST0189"/>
    <s v="Male"/>
    <s v="No"/>
    <s v="No"/>
    <s v="No"/>
    <x v="41"/>
    <x v="1"/>
    <x v="2"/>
    <x v="0"/>
    <n v="76.75"/>
    <n v="1766.52"/>
    <x v="0"/>
  </r>
  <r>
    <s v="CUST0190"/>
    <s v="Female"/>
    <s v="No"/>
    <s v="No"/>
    <s v="No"/>
    <x v="69"/>
    <x v="0"/>
    <x v="1"/>
    <x v="2"/>
    <n v="45.43"/>
    <n v="518.78"/>
    <x v="0"/>
  </r>
  <r>
    <s v="CUST0191"/>
    <s v="Male"/>
    <s v="No"/>
    <s v="No"/>
    <s v="Yes"/>
    <x v="32"/>
    <x v="0"/>
    <x v="0"/>
    <x v="3"/>
    <n v="117.54"/>
    <n v="6659.4"/>
    <x v="0"/>
  </r>
  <r>
    <s v="CUST0192"/>
    <s v="Male"/>
    <s v="No"/>
    <s v="No"/>
    <s v="No"/>
    <x v="0"/>
    <x v="0"/>
    <x v="2"/>
    <x v="2"/>
    <n v="68.930000000000007"/>
    <n v="3870.3"/>
    <x v="0"/>
  </r>
  <r>
    <s v="CUST0193"/>
    <s v="Male"/>
    <s v="No"/>
    <s v="Yes"/>
    <s v="No"/>
    <x v="60"/>
    <x v="0"/>
    <x v="0"/>
    <x v="3"/>
    <n v="60.37"/>
    <n v="194.47"/>
    <x v="0"/>
  </r>
  <r>
    <s v="CUST0194"/>
    <s v="Male"/>
    <s v="No"/>
    <s v="Yes"/>
    <s v="No"/>
    <x v="2"/>
    <x v="1"/>
    <x v="0"/>
    <x v="3"/>
    <n v="83.95"/>
    <n v="519.89"/>
    <x v="0"/>
  </r>
  <r>
    <s v="CUST0195"/>
    <s v="Male"/>
    <s v="Yes"/>
    <s v="No"/>
    <s v="Yes"/>
    <x v="65"/>
    <x v="1"/>
    <x v="1"/>
    <x v="2"/>
    <n v="22.64"/>
    <n v="1260"/>
    <x v="0"/>
  </r>
  <r>
    <s v="CUST0196"/>
    <s v="Female"/>
    <s v="No"/>
    <s v="No"/>
    <s v="No"/>
    <x v="25"/>
    <x v="1"/>
    <x v="2"/>
    <x v="0"/>
    <n v="67.900000000000006"/>
    <n v="3699.51"/>
    <x v="0"/>
  </r>
  <r>
    <s v="CUST0197"/>
    <s v="Female"/>
    <s v="No"/>
    <s v="No"/>
    <s v="No"/>
    <x v="23"/>
    <x v="1"/>
    <x v="1"/>
    <x v="0"/>
    <n v="62.98"/>
    <n v="4230.43"/>
    <x v="0"/>
  </r>
  <r>
    <s v="CUST0198"/>
    <s v="Female"/>
    <s v="No"/>
    <s v="Yes"/>
    <s v="No"/>
    <x v="56"/>
    <x v="2"/>
    <x v="2"/>
    <x v="3"/>
    <n v="74.89"/>
    <n v="37.445"/>
    <x v="1"/>
  </r>
  <r>
    <s v="CUST0199"/>
    <s v="Male"/>
    <s v="Yes"/>
    <s v="Yes"/>
    <s v="No"/>
    <x v="44"/>
    <x v="1"/>
    <x v="2"/>
    <x v="2"/>
    <n v="102.57"/>
    <n v="5498.91"/>
    <x v="1"/>
  </r>
  <r>
    <s v="CUST0200"/>
    <s v="Male"/>
    <s v="No"/>
    <s v="No"/>
    <s v="No"/>
    <x v="36"/>
    <x v="1"/>
    <x v="0"/>
    <x v="1"/>
    <n v="140"/>
    <n v="301.58999999999997"/>
    <x v="0"/>
  </r>
  <r>
    <s v="CUST0201"/>
    <s v="Male"/>
    <s v="No"/>
    <s v="Yes"/>
    <s v="No"/>
    <x v="40"/>
    <x v="2"/>
    <x v="2"/>
    <x v="2"/>
    <n v="86.78"/>
    <n v="3098.63"/>
    <x v="1"/>
  </r>
  <r>
    <s v="CUST0202"/>
    <s v="Female"/>
    <s v="Yes"/>
    <s v="Yes"/>
    <s v="Yes"/>
    <x v="56"/>
    <x v="2"/>
    <x v="2"/>
    <x v="1"/>
    <n v="99.47"/>
    <n v="70.27"/>
    <x v="0"/>
  </r>
  <r>
    <s v="CUST0203"/>
    <s v="Male"/>
    <s v="No"/>
    <s v="No"/>
    <s v="No"/>
    <x v="40"/>
    <x v="0"/>
    <x v="0"/>
    <x v="0"/>
    <n v="140"/>
    <n v="5198.78"/>
    <x v="0"/>
  </r>
  <r>
    <s v="CUST0204"/>
    <s v="Male"/>
    <s v="Yes"/>
    <s v="Yes"/>
    <s v="Yes"/>
    <x v="28"/>
    <x v="1"/>
    <x v="2"/>
    <x v="1"/>
    <n v="44.84"/>
    <n v="1380.78"/>
    <x v="1"/>
  </r>
  <r>
    <s v="CUST0205"/>
    <s v="Female"/>
    <s v="Yes"/>
    <s v="Yes"/>
    <s v="No"/>
    <x v="9"/>
    <x v="1"/>
    <x v="2"/>
    <x v="2"/>
    <n v="73.27"/>
    <n v="299.29000000000002"/>
    <x v="1"/>
  </r>
  <r>
    <s v="CUST0206"/>
    <s v="Male"/>
    <s v="No"/>
    <s v="No"/>
    <s v="No"/>
    <x v="51"/>
    <x v="1"/>
    <x v="2"/>
    <x v="3"/>
    <n v="58.05"/>
    <n v="1074.18"/>
    <x v="0"/>
  </r>
  <r>
    <s v="CUST0207"/>
    <s v="Female"/>
    <s v="No"/>
    <s v="Yes"/>
    <s v="Yes"/>
    <x v="35"/>
    <x v="1"/>
    <x v="0"/>
    <x v="1"/>
    <n v="101.07"/>
    <n v="6979.08"/>
    <x v="0"/>
  </r>
  <r>
    <s v="CUST0208"/>
    <s v="Female"/>
    <s v="No"/>
    <s v="Yes"/>
    <s v="No"/>
    <x v="4"/>
    <x v="1"/>
    <x v="0"/>
    <x v="1"/>
    <n v="86.79"/>
    <n v="5696.88"/>
    <x v="0"/>
  </r>
  <r>
    <s v="CUST0209"/>
    <s v="Female"/>
    <s v="No"/>
    <s v="No"/>
    <s v="Yes"/>
    <x v="21"/>
    <x v="1"/>
    <x v="0"/>
    <x v="1"/>
    <n v="59.54"/>
    <n v="2716.05"/>
    <x v="0"/>
  </r>
  <r>
    <s v="CUST0210"/>
    <s v="Male"/>
    <s v="No"/>
    <s v="Yes"/>
    <s v="No"/>
    <x v="38"/>
    <x v="2"/>
    <x v="0"/>
    <x v="2"/>
    <n v="80.27"/>
    <n v="2683.8"/>
    <x v="0"/>
  </r>
  <r>
    <s v="CUST0211"/>
    <s v="Male"/>
    <s v="No"/>
    <s v="Yes"/>
    <s v="No"/>
    <x v="23"/>
    <x v="1"/>
    <x v="0"/>
    <x v="1"/>
    <n v="106.17"/>
    <n v="7123.67"/>
    <x v="0"/>
  </r>
  <r>
    <s v="CUST0212"/>
    <s v="Male"/>
    <s v="No"/>
    <s v="No"/>
    <s v="No"/>
    <x v="14"/>
    <x v="0"/>
    <x v="0"/>
    <x v="1"/>
    <n v="47.41"/>
    <n v="3176.47"/>
    <x v="0"/>
  </r>
  <r>
    <s v="CUST0213"/>
    <s v="Male"/>
    <s v="No"/>
    <s v="No"/>
    <s v="Yes"/>
    <x v="56"/>
    <x v="0"/>
    <x v="2"/>
    <x v="1"/>
    <n v="50.07"/>
    <n v="25.035"/>
    <x v="0"/>
  </r>
  <r>
    <s v="CUST0214"/>
    <s v="Male"/>
    <s v="No"/>
    <s v="No"/>
    <s v="No"/>
    <x v="23"/>
    <x v="1"/>
    <x v="2"/>
    <x v="0"/>
    <n v="46.32"/>
    <n v="3061.79"/>
    <x v="0"/>
  </r>
  <r>
    <s v="CUST0215"/>
    <s v="Male"/>
    <s v="No"/>
    <s v="Yes"/>
    <s v="No"/>
    <x v="7"/>
    <x v="0"/>
    <x v="0"/>
    <x v="1"/>
    <n v="88.16"/>
    <n v="1020.3"/>
    <x v="0"/>
  </r>
  <r>
    <s v="CUST0216"/>
    <s v="Male"/>
    <s v="No"/>
    <s v="No"/>
    <s v="No"/>
    <x v="66"/>
    <x v="1"/>
    <x v="0"/>
    <x v="2"/>
    <n v="111.01"/>
    <n v="6524.78"/>
    <x v="0"/>
  </r>
  <r>
    <s v="CUST0217"/>
    <s v="Female"/>
    <s v="No"/>
    <s v="Yes"/>
    <s v="No"/>
    <x v="10"/>
    <x v="1"/>
    <x v="1"/>
    <x v="1"/>
    <n v="20"/>
    <n v="619.70000000000005"/>
    <x v="0"/>
  </r>
  <r>
    <s v="CUST0218"/>
    <s v="Male"/>
    <s v="No"/>
    <s v="No"/>
    <s v="Yes"/>
    <x v="3"/>
    <x v="0"/>
    <x v="0"/>
    <x v="2"/>
    <n v="82.36"/>
    <n v="4581.9799999999996"/>
    <x v="1"/>
  </r>
  <r>
    <s v="CUST0219"/>
    <s v="Female"/>
    <s v="Yes"/>
    <s v="Yes"/>
    <s v="No"/>
    <x v="63"/>
    <x v="1"/>
    <x v="0"/>
    <x v="1"/>
    <n v="56.89"/>
    <n v="1267.07"/>
    <x v="0"/>
  </r>
  <r>
    <s v="CUST0220"/>
    <s v="Male"/>
    <s v="No"/>
    <s v="No"/>
    <s v="Yes"/>
    <x v="52"/>
    <x v="2"/>
    <x v="0"/>
    <x v="0"/>
    <n v="105.14"/>
    <n v="2506.75"/>
    <x v="0"/>
  </r>
  <r>
    <s v="CUST0221"/>
    <s v="Male"/>
    <s v="No"/>
    <s v="No"/>
    <s v="No"/>
    <x v="51"/>
    <x v="1"/>
    <x v="0"/>
    <x v="1"/>
    <n v="74.08"/>
    <n v="1360.08"/>
    <x v="0"/>
  </r>
  <r>
    <s v="CUST0222"/>
    <s v="Male"/>
    <s v="No"/>
    <s v="No"/>
    <s v="No"/>
    <x v="65"/>
    <x v="0"/>
    <x v="0"/>
    <x v="2"/>
    <n v="83.27"/>
    <n v="5109.28"/>
    <x v="0"/>
  </r>
  <r>
    <s v="CUST0223"/>
    <s v="Female"/>
    <s v="Yes"/>
    <s v="No"/>
    <s v="Yes"/>
    <x v="30"/>
    <x v="1"/>
    <x v="0"/>
    <x v="3"/>
    <n v="79.97"/>
    <n v="4903.68"/>
    <x v="0"/>
  </r>
  <r>
    <s v="CUST0224"/>
    <s v="Female"/>
    <s v="No"/>
    <s v="Yes"/>
    <s v="Yes"/>
    <x v="64"/>
    <x v="1"/>
    <x v="0"/>
    <x v="3"/>
    <n v="108.11"/>
    <n v="5520.87"/>
    <x v="0"/>
  </r>
  <r>
    <s v="CUST0225"/>
    <s v="Female"/>
    <s v="No"/>
    <s v="No"/>
    <s v="Yes"/>
    <x v="52"/>
    <x v="1"/>
    <x v="1"/>
    <x v="2"/>
    <n v="106.22"/>
    <n v="2576.7800000000002"/>
    <x v="1"/>
  </r>
  <r>
    <s v="CUST0226"/>
    <s v="Female"/>
    <s v="No"/>
    <s v="No"/>
    <s v="No"/>
    <x v="44"/>
    <x v="0"/>
    <x v="2"/>
    <x v="0"/>
    <n v="41.63"/>
    <n v="2233.34"/>
    <x v="0"/>
  </r>
  <r>
    <s v="CUST0227"/>
    <s v="Male"/>
    <s v="Yes"/>
    <s v="Yes"/>
    <s v="No"/>
    <x v="57"/>
    <x v="2"/>
    <x v="2"/>
    <x v="3"/>
    <n v="46.19"/>
    <n v="2186.92"/>
    <x v="0"/>
  </r>
  <r>
    <s v="CUST0228"/>
    <s v="Female"/>
    <s v="No"/>
    <s v="No"/>
    <s v="No"/>
    <x v="58"/>
    <x v="2"/>
    <x v="0"/>
    <x v="2"/>
    <n v="88.04"/>
    <n v="2631.53"/>
    <x v="0"/>
  </r>
  <r>
    <s v="CUST0229"/>
    <s v="Male"/>
    <s v="No"/>
    <s v="Yes"/>
    <s v="Yes"/>
    <x v="44"/>
    <x v="1"/>
    <x v="0"/>
    <x v="1"/>
    <n v="59.59"/>
    <n v="3356.57"/>
    <x v="0"/>
  </r>
  <r>
    <s v="CUST0230"/>
    <s v="Male"/>
    <s v="No"/>
    <s v="No"/>
    <s v="Yes"/>
    <x v="9"/>
    <x v="0"/>
    <x v="1"/>
    <x v="3"/>
    <n v="78.34"/>
    <n v="367.08"/>
    <x v="0"/>
  </r>
  <r>
    <s v="CUST0231"/>
    <s v="Female"/>
    <s v="No"/>
    <s v="No"/>
    <s v="No"/>
    <x v="55"/>
    <x v="0"/>
    <x v="2"/>
    <x v="0"/>
    <n v="97.35"/>
    <n v="3387.54"/>
    <x v="0"/>
  </r>
  <r>
    <s v="CUST0232"/>
    <s v="Female"/>
    <s v="No"/>
    <s v="No"/>
    <s v="Yes"/>
    <x v="34"/>
    <x v="0"/>
    <x v="0"/>
    <x v="1"/>
    <n v="66.34"/>
    <n v="3165.5"/>
    <x v="0"/>
  </r>
  <r>
    <s v="CUST0233"/>
    <s v="Female"/>
    <s v="No"/>
    <s v="Yes"/>
    <s v="No"/>
    <x v="32"/>
    <x v="1"/>
    <x v="0"/>
    <x v="1"/>
    <n v="60.91"/>
    <n v="3294.52"/>
    <x v="0"/>
  </r>
  <r>
    <s v="CUST0234"/>
    <s v="Female"/>
    <s v="No"/>
    <s v="No"/>
    <s v="No"/>
    <x v="22"/>
    <x v="0"/>
    <x v="0"/>
    <x v="1"/>
    <n v="73.13"/>
    <n v="2711.08"/>
    <x v="1"/>
  </r>
  <r>
    <s v="CUST0235"/>
    <s v="Female"/>
    <s v="No"/>
    <s v="No"/>
    <s v="No"/>
    <x v="65"/>
    <x v="2"/>
    <x v="1"/>
    <x v="0"/>
    <n v="57.6"/>
    <n v="3427.69"/>
    <x v="0"/>
  </r>
  <r>
    <s v="CUST0236"/>
    <s v="Female"/>
    <s v="No"/>
    <s v="No"/>
    <s v="No"/>
    <x v="54"/>
    <x v="1"/>
    <x v="2"/>
    <x v="1"/>
    <n v="77.87"/>
    <n v="637.04999999999995"/>
    <x v="1"/>
  </r>
  <r>
    <s v="CUST0237"/>
    <s v="Female"/>
    <s v="No"/>
    <s v="Yes"/>
    <s v="No"/>
    <x v="12"/>
    <x v="2"/>
    <x v="0"/>
    <x v="1"/>
    <n v="23.68"/>
    <n v="219.17"/>
    <x v="0"/>
  </r>
  <r>
    <s v="CUST0238"/>
    <s v="Female"/>
    <s v="No"/>
    <s v="Yes"/>
    <s v="Yes"/>
    <x v="38"/>
    <x v="0"/>
    <x v="1"/>
    <x v="1"/>
    <n v="30.81"/>
    <n v="1210.54"/>
    <x v="1"/>
  </r>
  <r>
    <s v="CUST0239"/>
    <s v="Male"/>
    <s v="No"/>
    <s v="No"/>
    <s v="Yes"/>
    <x v="22"/>
    <x v="1"/>
    <x v="1"/>
    <x v="2"/>
    <n v="44.9"/>
    <n v="1727.98"/>
    <x v="0"/>
  </r>
  <r>
    <s v="CUST0240"/>
    <s v="Female"/>
    <s v="No"/>
    <s v="Yes"/>
    <s v="Yes"/>
    <x v="41"/>
    <x v="1"/>
    <x v="0"/>
    <x v="2"/>
    <n v="60.08"/>
    <n v="1278.1300000000001"/>
    <x v="0"/>
  </r>
  <r>
    <s v="CUST0241"/>
    <s v="Female"/>
    <s v="No"/>
    <s v="No"/>
    <s v="No"/>
    <x v="33"/>
    <x v="1"/>
    <x v="0"/>
    <x v="1"/>
    <n v="20"/>
    <n v="760.77"/>
    <x v="0"/>
  </r>
  <r>
    <s v="CUST0242"/>
    <s v="Male"/>
    <s v="No"/>
    <s v="No"/>
    <s v="Yes"/>
    <x v="9"/>
    <x v="1"/>
    <x v="2"/>
    <x v="1"/>
    <n v="22.79"/>
    <n v="11.395"/>
    <x v="0"/>
  </r>
  <r>
    <s v="CUST0243"/>
    <s v="Female"/>
    <s v="No"/>
    <s v="No"/>
    <s v="No"/>
    <x v="61"/>
    <x v="2"/>
    <x v="0"/>
    <x v="1"/>
    <n v="47.37"/>
    <n v="1893.71"/>
    <x v="0"/>
  </r>
  <r>
    <s v="CUST0244"/>
    <s v="Male"/>
    <s v="No"/>
    <s v="No"/>
    <s v="No"/>
    <x v="4"/>
    <x v="1"/>
    <x v="0"/>
    <x v="3"/>
    <n v="77.12"/>
    <n v="5073.4799999999996"/>
    <x v="0"/>
  </r>
  <r>
    <s v="CUST0245"/>
    <s v="Male"/>
    <s v="No"/>
    <s v="No"/>
    <s v="No"/>
    <x v="45"/>
    <x v="2"/>
    <x v="0"/>
    <x v="0"/>
    <n v="69.09"/>
    <n v="2081.64"/>
    <x v="0"/>
  </r>
  <r>
    <s v="CUST0246"/>
    <s v="Female"/>
    <s v="No"/>
    <s v="No"/>
    <s v="No"/>
    <x v="0"/>
    <x v="2"/>
    <x v="2"/>
    <x v="0"/>
    <n v="54.21"/>
    <n v="3077.32"/>
    <x v="0"/>
  </r>
  <r>
    <s v="CUST0247"/>
    <s v="Male"/>
    <s v="No"/>
    <s v="No"/>
    <s v="Yes"/>
    <x v="47"/>
    <x v="1"/>
    <x v="2"/>
    <x v="1"/>
    <n v="89.91"/>
    <n v="6491.24"/>
    <x v="0"/>
  </r>
  <r>
    <s v="CUST0248"/>
    <s v="Male"/>
    <s v="No"/>
    <s v="Yes"/>
    <s v="No"/>
    <x v="28"/>
    <x v="2"/>
    <x v="2"/>
    <x v="2"/>
    <n v="89.9"/>
    <n v="2470.7399999999998"/>
    <x v="0"/>
  </r>
  <r>
    <s v="CUST0249"/>
    <s v="Male"/>
    <s v="No"/>
    <s v="Yes"/>
    <s v="No"/>
    <x v="67"/>
    <x v="2"/>
    <x v="2"/>
    <x v="0"/>
    <n v="73.75"/>
    <n v="2496.4299999999998"/>
    <x v="0"/>
  </r>
  <r>
    <s v="CUST0250"/>
    <s v="Male"/>
    <s v="No"/>
    <s v="Yes"/>
    <s v="Yes"/>
    <x v="24"/>
    <x v="0"/>
    <x v="2"/>
    <x v="1"/>
    <n v="73"/>
    <n v="722.26"/>
    <x v="1"/>
  </r>
  <r>
    <s v="CUST0251"/>
    <s v="Female"/>
    <s v="Yes"/>
    <s v="Yes"/>
    <s v="Yes"/>
    <x v="58"/>
    <x v="0"/>
    <x v="0"/>
    <x v="1"/>
    <n v="58.58"/>
    <n v="1682.88"/>
    <x v="0"/>
  </r>
  <r>
    <s v="CUST0252"/>
    <s v="Male"/>
    <s v="No"/>
    <s v="Yes"/>
    <s v="No"/>
    <x v="57"/>
    <x v="2"/>
    <x v="2"/>
    <x v="0"/>
    <n v="51.58"/>
    <n v="2297.7399999999998"/>
    <x v="0"/>
  </r>
  <r>
    <s v="CUST0253"/>
    <s v="Female"/>
    <s v="No"/>
    <s v="Yes"/>
    <s v="No"/>
    <x v="63"/>
    <x v="0"/>
    <x v="2"/>
    <x v="3"/>
    <n v="27.31"/>
    <n v="680.34"/>
    <x v="0"/>
  </r>
  <r>
    <s v="CUST0254"/>
    <s v="Male"/>
    <s v="No"/>
    <s v="Yes"/>
    <s v="No"/>
    <x v="53"/>
    <x v="1"/>
    <x v="0"/>
    <x v="3"/>
    <n v="73.73"/>
    <n v="3321.49"/>
    <x v="0"/>
  </r>
  <r>
    <s v="CUST0255"/>
    <s v="Male"/>
    <s v="Yes"/>
    <s v="No"/>
    <s v="No"/>
    <x v="11"/>
    <x v="2"/>
    <x v="2"/>
    <x v="2"/>
    <n v="89.64"/>
    <n v="1497.74"/>
    <x v="0"/>
  </r>
  <r>
    <s v="CUST0256"/>
    <s v="Male"/>
    <s v="No"/>
    <s v="No"/>
    <s v="No"/>
    <x v="20"/>
    <x v="0"/>
    <x v="2"/>
    <x v="2"/>
    <n v="103.86"/>
    <n v="6709.69"/>
    <x v="0"/>
  </r>
  <r>
    <s v="CUST0257"/>
    <s v="Male"/>
    <s v="No"/>
    <s v="No"/>
    <s v="No"/>
    <x v="12"/>
    <x v="0"/>
    <x v="2"/>
    <x v="1"/>
    <n v="63.88"/>
    <n v="410.94"/>
    <x v="0"/>
  </r>
  <r>
    <s v="CUST0258"/>
    <s v="Female"/>
    <s v="No"/>
    <s v="No"/>
    <s v="No"/>
    <x v="68"/>
    <x v="1"/>
    <x v="2"/>
    <x v="2"/>
    <n v="82.29"/>
    <n v="1324.44"/>
    <x v="0"/>
  </r>
  <r>
    <s v="CUST0259"/>
    <s v="Female"/>
    <s v="No"/>
    <s v="Yes"/>
    <s v="No"/>
    <x v="41"/>
    <x v="0"/>
    <x v="0"/>
    <x v="2"/>
    <n v="20"/>
    <n v="488.27"/>
    <x v="0"/>
  </r>
  <r>
    <s v="CUST0260"/>
    <s v="Male"/>
    <s v="No"/>
    <s v="Yes"/>
    <s v="No"/>
    <x v="16"/>
    <x v="1"/>
    <x v="2"/>
    <x v="1"/>
    <n v="59.18"/>
    <n v="1759.79"/>
    <x v="0"/>
  </r>
  <r>
    <s v="CUST0261"/>
    <s v="Male"/>
    <s v="Yes"/>
    <s v="No"/>
    <s v="No"/>
    <x v="45"/>
    <x v="2"/>
    <x v="0"/>
    <x v="3"/>
    <n v="68.59"/>
    <n v="1894.94"/>
    <x v="0"/>
  </r>
  <r>
    <s v="CUST0262"/>
    <s v="Female"/>
    <s v="No"/>
    <s v="No"/>
    <s v="No"/>
    <x v="58"/>
    <x v="1"/>
    <x v="1"/>
    <x v="1"/>
    <n v="92.28"/>
    <n v="2992.89"/>
    <x v="0"/>
  </r>
  <r>
    <s v="CUST0263"/>
    <s v="Male"/>
    <s v="No"/>
    <s v="Yes"/>
    <s v="No"/>
    <x v="61"/>
    <x v="1"/>
    <x v="0"/>
    <x v="1"/>
    <n v="89.82"/>
    <n v="3666.31"/>
    <x v="1"/>
  </r>
  <r>
    <s v="CUST0264"/>
    <s v="Male"/>
    <s v="No"/>
    <s v="No"/>
    <s v="No"/>
    <x v="37"/>
    <x v="1"/>
    <x v="0"/>
    <x v="2"/>
    <n v="92.36"/>
    <n v="776.76"/>
    <x v="1"/>
  </r>
  <r>
    <s v="CUST0265"/>
    <s v="Male"/>
    <s v="Yes"/>
    <s v="No"/>
    <s v="No"/>
    <x v="55"/>
    <x v="1"/>
    <x v="1"/>
    <x v="2"/>
    <n v="66.06"/>
    <n v="2400.3200000000002"/>
    <x v="0"/>
  </r>
  <r>
    <s v="CUST0266"/>
    <s v="Female"/>
    <s v="No"/>
    <s v="No"/>
    <s v="No"/>
    <x v="46"/>
    <x v="0"/>
    <x v="0"/>
    <x v="2"/>
    <n v="81.14"/>
    <n v="2775.01"/>
    <x v="0"/>
  </r>
  <r>
    <s v="CUST0267"/>
    <s v="Female"/>
    <s v="No"/>
    <s v="No"/>
    <s v="No"/>
    <x v="47"/>
    <x v="2"/>
    <x v="2"/>
    <x v="1"/>
    <n v="108.31"/>
    <n v="7763.66"/>
    <x v="0"/>
  </r>
  <r>
    <s v="CUST0268"/>
    <s v="Female"/>
    <s v="No"/>
    <s v="Yes"/>
    <s v="No"/>
    <x v="13"/>
    <x v="2"/>
    <x v="0"/>
    <x v="3"/>
    <n v="22.37"/>
    <n v="626.27"/>
    <x v="0"/>
  </r>
  <r>
    <s v="CUST0269"/>
    <s v="Male"/>
    <s v="No"/>
    <s v="No"/>
    <s v="Yes"/>
    <x v="69"/>
    <x v="1"/>
    <x v="1"/>
    <x v="0"/>
    <n v="58.66"/>
    <n v="597.54999999999995"/>
    <x v="0"/>
  </r>
  <r>
    <s v="CUST0270"/>
    <s v="Male"/>
    <s v="No"/>
    <s v="No"/>
    <s v="No"/>
    <x v="22"/>
    <x v="1"/>
    <x v="2"/>
    <x v="0"/>
    <n v="98.25"/>
    <n v="3507.33"/>
    <x v="0"/>
  </r>
  <r>
    <s v="CUST0271"/>
    <s v="Female"/>
    <s v="Yes"/>
    <s v="Yes"/>
    <s v="Yes"/>
    <x v="21"/>
    <x v="2"/>
    <x v="2"/>
    <x v="3"/>
    <n v="22.72"/>
    <n v="933.45"/>
    <x v="0"/>
  </r>
  <r>
    <s v="CUST0272"/>
    <s v="Female"/>
    <s v="No"/>
    <s v="Yes"/>
    <s v="No"/>
    <x v="19"/>
    <x v="2"/>
    <x v="0"/>
    <x v="2"/>
    <n v="100.95"/>
    <n v="1892.48"/>
    <x v="0"/>
  </r>
  <r>
    <s v="CUST0273"/>
    <s v="Female"/>
    <s v="Yes"/>
    <s v="No"/>
    <s v="No"/>
    <x v="59"/>
    <x v="1"/>
    <x v="0"/>
    <x v="1"/>
    <n v="60.97"/>
    <n v="786.97"/>
    <x v="1"/>
  </r>
  <r>
    <s v="CUST0274"/>
    <s v="Female"/>
    <s v="No"/>
    <s v="Yes"/>
    <s v="No"/>
    <x v="13"/>
    <x v="1"/>
    <x v="2"/>
    <x v="2"/>
    <n v="72.75"/>
    <n v="2006.64"/>
    <x v="0"/>
  </r>
  <r>
    <s v="CUST0275"/>
    <s v="Male"/>
    <s v="No"/>
    <s v="No"/>
    <s v="No"/>
    <x v="29"/>
    <x v="1"/>
    <x v="0"/>
    <x v="1"/>
    <n v="60.49"/>
    <n v="1412.31"/>
    <x v="1"/>
  </r>
  <r>
    <s v="CUST0276"/>
    <s v="Female"/>
    <s v="Yes"/>
    <s v="No"/>
    <s v="No"/>
    <x v="1"/>
    <x v="2"/>
    <x v="2"/>
    <x v="1"/>
    <n v="93.98"/>
    <n v="6769.81"/>
    <x v="0"/>
  </r>
  <r>
    <s v="CUST0277"/>
    <s v="Male"/>
    <s v="No"/>
    <s v="Yes"/>
    <s v="No"/>
    <x v="54"/>
    <x v="0"/>
    <x v="0"/>
    <x v="0"/>
    <n v="72.790000000000006"/>
    <n v="473.22"/>
    <x v="0"/>
  </r>
  <r>
    <s v="CUST0278"/>
    <s v="Female"/>
    <s v="No"/>
    <s v="No"/>
    <s v="No"/>
    <x v="21"/>
    <x v="1"/>
    <x v="2"/>
    <x v="3"/>
    <n v="91.14"/>
    <n v="4223.9799999999996"/>
    <x v="0"/>
  </r>
  <r>
    <s v="CUST0279"/>
    <s v="Male"/>
    <s v="No"/>
    <s v="No"/>
    <s v="No"/>
    <x v="16"/>
    <x v="1"/>
    <x v="2"/>
    <x v="1"/>
    <n v="80.88"/>
    <n v="2582.9299999999998"/>
    <x v="0"/>
  </r>
  <r>
    <s v="CUST0280"/>
    <s v="Female"/>
    <s v="No"/>
    <s v="No"/>
    <s v="Yes"/>
    <x v="17"/>
    <x v="2"/>
    <x v="0"/>
    <x v="2"/>
    <n v="60.16"/>
    <n v="3606.58"/>
    <x v="0"/>
  </r>
  <r>
    <s v="CUST0281"/>
    <s v="Female"/>
    <s v="No"/>
    <s v="No"/>
    <s v="Yes"/>
    <x v="19"/>
    <x v="1"/>
    <x v="0"/>
    <x v="1"/>
    <n v="92.55"/>
    <n v="1602.16"/>
    <x v="1"/>
  </r>
  <r>
    <s v="CUST0282"/>
    <s v="Female"/>
    <s v="No"/>
    <s v="Yes"/>
    <s v="No"/>
    <x v="4"/>
    <x v="1"/>
    <x v="0"/>
    <x v="2"/>
    <n v="63.41"/>
    <n v="4203.26"/>
    <x v="0"/>
  </r>
  <r>
    <s v="CUST0283"/>
    <s v="Female"/>
    <s v="No"/>
    <s v="Yes"/>
    <s v="No"/>
    <x v="62"/>
    <x v="0"/>
    <x v="0"/>
    <x v="0"/>
    <n v="81.599999999999994"/>
    <n v="3232.77"/>
    <x v="1"/>
  </r>
  <r>
    <s v="CUST0284"/>
    <s v="Male"/>
    <s v="No"/>
    <s v="No"/>
    <s v="Yes"/>
    <x v="21"/>
    <x v="1"/>
    <x v="2"/>
    <x v="2"/>
    <n v="62.34"/>
    <n v="2872.73"/>
    <x v="0"/>
  </r>
  <r>
    <s v="CUST0285"/>
    <s v="Female"/>
    <s v="No"/>
    <s v="Yes"/>
    <s v="Yes"/>
    <x v="50"/>
    <x v="1"/>
    <x v="0"/>
    <x v="1"/>
    <n v="102.5"/>
    <n v="6567.58"/>
    <x v="1"/>
  </r>
  <r>
    <s v="CUST0286"/>
    <s v="Male"/>
    <s v="No"/>
    <s v="No"/>
    <s v="Yes"/>
    <x v="28"/>
    <x v="2"/>
    <x v="2"/>
    <x v="2"/>
    <n v="83.51"/>
    <n v="2298.4"/>
    <x v="0"/>
  </r>
  <r>
    <s v="CUST0287"/>
    <s v="Male"/>
    <s v="No"/>
    <s v="No"/>
    <s v="No"/>
    <x v="18"/>
    <x v="2"/>
    <x v="0"/>
    <x v="3"/>
    <n v="79.23"/>
    <n v="3847.7"/>
    <x v="1"/>
  </r>
  <r>
    <s v="CUST0288"/>
    <s v="Male"/>
    <s v="No"/>
    <s v="No"/>
    <s v="No"/>
    <x v="24"/>
    <x v="2"/>
    <x v="2"/>
    <x v="2"/>
    <n v="52.86"/>
    <n v="570.91999999999996"/>
    <x v="0"/>
  </r>
  <r>
    <s v="CUST0289"/>
    <s v="Male"/>
    <s v="No"/>
    <s v="No"/>
    <s v="No"/>
    <x v="56"/>
    <x v="2"/>
    <x v="0"/>
    <x v="0"/>
    <n v="48.28"/>
    <n v="24.14"/>
    <x v="0"/>
  </r>
  <r>
    <s v="CUST0290"/>
    <s v="Female"/>
    <s v="No"/>
    <s v="No"/>
    <s v="Yes"/>
    <x v="46"/>
    <x v="0"/>
    <x v="1"/>
    <x v="3"/>
    <n v="58.39"/>
    <n v="1974.44"/>
    <x v="0"/>
  </r>
  <r>
    <s v="CUST0291"/>
    <s v="Male"/>
    <s v="Yes"/>
    <s v="Yes"/>
    <s v="No"/>
    <x v="48"/>
    <x v="2"/>
    <x v="1"/>
    <x v="1"/>
    <n v="39.19"/>
    <n v="1898.44"/>
    <x v="0"/>
  </r>
  <r>
    <s v="CUST0292"/>
    <s v="Male"/>
    <s v="No"/>
    <s v="No"/>
    <s v="Yes"/>
    <x v="48"/>
    <x v="1"/>
    <x v="0"/>
    <x v="2"/>
    <n v="33.049999999999997"/>
    <n v="1451.28"/>
    <x v="0"/>
  </r>
  <r>
    <s v="CUST0293"/>
    <s v="Male"/>
    <s v="No"/>
    <s v="Yes"/>
    <s v="Yes"/>
    <x v="34"/>
    <x v="0"/>
    <x v="2"/>
    <x v="3"/>
    <n v="36.75"/>
    <n v="1692.29"/>
    <x v="0"/>
  </r>
  <r>
    <s v="CUST0294"/>
    <s v="Female"/>
    <s v="No"/>
    <s v="Yes"/>
    <s v="No"/>
    <x v="70"/>
    <x v="2"/>
    <x v="0"/>
    <x v="1"/>
    <n v="120.65"/>
    <n v="7544.12"/>
    <x v="0"/>
  </r>
  <r>
    <s v="CUST0295"/>
    <s v="Female"/>
    <s v="Yes"/>
    <s v="No"/>
    <s v="Yes"/>
    <x v="65"/>
    <x v="1"/>
    <x v="0"/>
    <x v="0"/>
    <n v="63.5"/>
    <n v="3804.88"/>
    <x v="1"/>
  </r>
  <r>
    <s v="CUST0296"/>
    <s v="Female"/>
    <s v="No"/>
    <s v="No"/>
    <s v="Yes"/>
    <x v="28"/>
    <x v="1"/>
    <x v="2"/>
    <x v="1"/>
    <n v="97.05"/>
    <n v="2582.75"/>
    <x v="0"/>
  </r>
  <r>
    <s v="CUST0297"/>
    <s v="Female"/>
    <s v="No"/>
    <s v="No"/>
    <s v="Yes"/>
    <x v="22"/>
    <x v="1"/>
    <x v="1"/>
    <x v="0"/>
    <n v="46.08"/>
    <n v="1680.73"/>
    <x v="1"/>
  </r>
  <r>
    <s v="CUST0298"/>
    <s v="Male"/>
    <s v="No"/>
    <s v="No"/>
    <s v="Yes"/>
    <x v="42"/>
    <x v="1"/>
    <x v="2"/>
    <x v="2"/>
    <n v="100.99"/>
    <n v="2413.9"/>
    <x v="0"/>
  </r>
  <r>
    <s v="CUST0299"/>
    <s v="Male"/>
    <s v="No"/>
    <s v="No"/>
    <s v="Yes"/>
    <x v="11"/>
    <x v="1"/>
    <x v="1"/>
    <x v="1"/>
    <n v="84.18"/>
    <n v="1378.92"/>
    <x v="1"/>
  </r>
  <r>
    <s v="CUST0300"/>
    <s v="Female"/>
    <s v="No"/>
    <s v="Yes"/>
    <s v="No"/>
    <x v="35"/>
    <x v="2"/>
    <x v="0"/>
    <x v="0"/>
    <n v="59.36"/>
    <n v="4152.83"/>
    <x v="0"/>
  </r>
  <r>
    <s v="CUST0301"/>
    <s v="Male"/>
    <s v="No"/>
    <s v="No"/>
    <s v="No"/>
    <x v="24"/>
    <x v="2"/>
    <x v="0"/>
    <x v="1"/>
    <n v="30.3"/>
    <n v="326.60000000000002"/>
    <x v="1"/>
  </r>
  <r>
    <s v="CUST0302"/>
    <s v="Male"/>
    <s v="Yes"/>
    <s v="No"/>
    <s v="No"/>
    <x v="14"/>
    <x v="1"/>
    <x v="2"/>
    <x v="0"/>
    <n v="22.42"/>
    <n v="1439.5"/>
    <x v="0"/>
  </r>
  <r>
    <s v="CUST0303"/>
    <s v="Male"/>
    <s v="No"/>
    <s v="Yes"/>
    <s v="No"/>
    <x v="42"/>
    <x v="1"/>
    <x v="2"/>
    <x v="1"/>
    <n v="49.78"/>
    <n v="1208.73"/>
    <x v="0"/>
  </r>
  <r>
    <s v="CUST0304"/>
    <s v="Female"/>
    <s v="No"/>
    <s v="Yes"/>
    <s v="Yes"/>
    <x v="34"/>
    <x v="1"/>
    <x v="0"/>
    <x v="3"/>
    <n v="127.24"/>
    <n v="6062.34"/>
    <x v="0"/>
  </r>
  <r>
    <s v="CUST0305"/>
    <s v="Female"/>
    <s v="No"/>
    <s v="No"/>
    <s v="No"/>
    <x v="4"/>
    <x v="2"/>
    <x v="2"/>
    <x v="1"/>
    <n v="59.74"/>
    <n v="4073.61"/>
    <x v="0"/>
  </r>
  <r>
    <s v="CUST0306"/>
    <s v="Male"/>
    <s v="No"/>
    <s v="Yes"/>
    <s v="No"/>
    <x v="2"/>
    <x v="1"/>
    <x v="2"/>
    <x v="3"/>
    <n v="73.63"/>
    <n v="521.54"/>
    <x v="0"/>
  </r>
  <r>
    <s v="CUST0307"/>
    <s v="Female"/>
    <s v="No"/>
    <s v="No"/>
    <s v="Yes"/>
    <x v="32"/>
    <x v="1"/>
    <x v="0"/>
    <x v="2"/>
    <n v="112.58"/>
    <n v="6361.8"/>
    <x v="0"/>
  </r>
  <r>
    <s v="CUST0308"/>
    <s v="Female"/>
    <s v="No"/>
    <s v="Yes"/>
    <s v="No"/>
    <x v="34"/>
    <x v="1"/>
    <x v="0"/>
    <x v="1"/>
    <n v="82.76"/>
    <n v="3985.7"/>
    <x v="0"/>
  </r>
  <r>
    <s v="CUST0309"/>
    <s v="Female"/>
    <s v="No"/>
    <s v="Yes"/>
    <s v="Yes"/>
    <x v="8"/>
    <x v="1"/>
    <x v="0"/>
    <x v="2"/>
    <n v="81.900000000000006"/>
    <n v="4334.34"/>
    <x v="0"/>
  </r>
  <r>
    <s v="CUST0310"/>
    <s v="Female"/>
    <s v="Yes"/>
    <s v="No"/>
    <s v="No"/>
    <x v="50"/>
    <x v="1"/>
    <x v="0"/>
    <x v="0"/>
    <n v="95.57"/>
    <n v="6061.2"/>
    <x v="0"/>
  </r>
  <r>
    <s v="CUST0311"/>
    <s v="Female"/>
    <s v="No"/>
    <s v="Yes"/>
    <s v="No"/>
    <x v="17"/>
    <x v="2"/>
    <x v="2"/>
    <x v="0"/>
    <n v="77.22"/>
    <n v="4597.05"/>
    <x v="0"/>
  </r>
  <r>
    <s v="CUST0312"/>
    <s v="Male"/>
    <s v="No"/>
    <s v="Yes"/>
    <s v="No"/>
    <x v="11"/>
    <x v="0"/>
    <x v="1"/>
    <x v="1"/>
    <n v="52.51"/>
    <n v="696.41"/>
    <x v="0"/>
  </r>
  <r>
    <s v="CUST0313"/>
    <s v="Female"/>
    <s v="Yes"/>
    <s v="Yes"/>
    <s v="No"/>
    <x v="43"/>
    <x v="0"/>
    <x v="2"/>
    <x v="0"/>
    <n v="51.96"/>
    <n v="2284.1"/>
    <x v="0"/>
  </r>
  <r>
    <s v="CUST0314"/>
    <s v="Male"/>
    <s v="No"/>
    <s v="Yes"/>
    <s v="No"/>
    <x v="52"/>
    <x v="1"/>
    <x v="0"/>
    <x v="1"/>
    <n v="81.96"/>
    <n v="1951.76"/>
    <x v="1"/>
  </r>
  <r>
    <s v="CUST0315"/>
    <s v="Male"/>
    <s v="No"/>
    <s v="Yes"/>
    <s v="No"/>
    <x v="36"/>
    <x v="0"/>
    <x v="0"/>
    <x v="1"/>
    <n v="107.36"/>
    <n v="238.03"/>
    <x v="0"/>
  </r>
  <r>
    <s v="CUST0316"/>
    <s v="Female"/>
    <s v="No"/>
    <s v="Yes"/>
    <s v="Yes"/>
    <x v="28"/>
    <x v="0"/>
    <x v="0"/>
    <x v="0"/>
    <n v="124.55"/>
    <n v="3441.46"/>
    <x v="0"/>
  </r>
  <r>
    <s v="CUST0317"/>
    <s v="Male"/>
    <s v="No"/>
    <s v="No"/>
    <s v="Yes"/>
    <x v="58"/>
    <x v="1"/>
    <x v="2"/>
    <x v="1"/>
    <n v="77.31"/>
    <n v="2295.1799999999998"/>
    <x v="0"/>
  </r>
  <r>
    <s v="CUST0318"/>
    <s v="Male"/>
    <s v="No"/>
    <s v="No"/>
    <s v="No"/>
    <x v="42"/>
    <x v="0"/>
    <x v="0"/>
    <x v="1"/>
    <n v="98.88"/>
    <n v="2385.5"/>
    <x v="0"/>
  </r>
  <r>
    <s v="CUST0319"/>
    <s v="Male"/>
    <s v="Yes"/>
    <s v="Yes"/>
    <s v="No"/>
    <x v="5"/>
    <x v="1"/>
    <x v="0"/>
    <x v="1"/>
    <n v="86.74"/>
    <n v="1193.82"/>
    <x v="0"/>
  </r>
  <r>
    <s v="CUST0320"/>
    <s v="Female"/>
    <s v="No"/>
    <s v="No"/>
    <s v="No"/>
    <x v="52"/>
    <x v="2"/>
    <x v="2"/>
    <x v="1"/>
    <n v="67.819999999999993"/>
    <n v="1695.68"/>
    <x v="0"/>
  </r>
  <r>
    <s v="CUST0321"/>
    <s v="Female"/>
    <s v="No"/>
    <s v="No"/>
    <s v="No"/>
    <x v="25"/>
    <x v="1"/>
    <x v="0"/>
    <x v="1"/>
    <n v="92.86"/>
    <n v="5040.9799999999996"/>
    <x v="1"/>
  </r>
  <r>
    <s v="CUST0322"/>
    <s v="Male"/>
    <s v="Yes"/>
    <s v="No"/>
    <s v="No"/>
    <x v="13"/>
    <x v="2"/>
    <x v="1"/>
    <x v="3"/>
    <n v="84.73"/>
    <n v="2290.69"/>
    <x v="0"/>
  </r>
  <r>
    <s v="CUST0323"/>
    <s v="Female"/>
    <s v="No"/>
    <s v="Yes"/>
    <s v="No"/>
    <x v="47"/>
    <x v="1"/>
    <x v="1"/>
    <x v="1"/>
    <n v="32.840000000000003"/>
    <n v="2243.06"/>
    <x v="0"/>
  </r>
  <r>
    <s v="CUST0324"/>
    <s v="Female"/>
    <s v="No"/>
    <s v="No"/>
    <s v="No"/>
    <x v="3"/>
    <x v="0"/>
    <x v="2"/>
    <x v="2"/>
    <n v="33.72"/>
    <n v="1894.33"/>
    <x v="0"/>
  </r>
  <r>
    <s v="CUST0325"/>
    <s v="Female"/>
    <s v="No"/>
    <s v="Yes"/>
    <s v="No"/>
    <x v="50"/>
    <x v="0"/>
    <x v="2"/>
    <x v="1"/>
    <n v="56.67"/>
    <n v="3728.08"/>
    <x v="0"/>
  </r>
  <r>
    <s v="CUST0326"/>
    <s v="Female"/>
    <s v="No"/>
    <s v="No"/>
    <s v="No"/>
    <x v="33"/>
    <x v="0"/>
    <x v="2"/>
    <x v="3"/>
    <n v="75.290000000000006"/>
    <n v="3089.33"/>
    <x v="1"/>
  </r>
  <r>
    <s v="CUST0327"/>
    <s v="Male"/>
    <s v="No"/>
    <s v="Yes"/>
    <s v="No"/>
    <x v="6"/>
    <x v="1"/>
    <x v="0"/>
    <x v="1"/>
    <n v="101.75"/>
    <n v="5085.17"/>
    <x v="1"/>
  </r>
  <r>
    <s v="CUST0328"/>
    <s v="Male"/>
    <s v="No"/>
    <s v="Yes"/>
    <s v="Yes"/>
    <x v="35"/>
    <x v="1"/>
    <x v="2"/>
    <x v="3"/>
    <n v="45.26"/>
    <n v="3149.44"/>
    <x v="0"/>
  </r>
  <r>
    <s v="CUST0329"/>
    <s v="Female"/>
    <s v="No"/>
    <s v="No"/>
    <s v="No"/>
    <x v="28"/>
    <x v="0"/>
    <x v="2"/>
    <x v="2"/>
    <n v="20"/>
    <n v="557.03"/>
    <x v="0"/>
  </r>
  <r>
    <s v="CUST0330"/>
    <s v="Female"/>
    <s v="No"/>
    <s v="No"/>
    <s v="Yes"/>
    <x v="19"/>
    <x v="1"/>
    <x v="1"/>
    <x v="1"/>
    <n v="42.26"/>
    <n v="858.7"/>
    <x v="0"/>
  </r>
  <r>
    <s v="CUST0331"/>
    <s v="Male"/>
    <s v="No"/>
    <s v="Yes"/>
    <s v="Yes"/>
    <x v="20"/>
    <x v="1"/>
    <x v="1"/>
    <x v="3"/>
    <n v="50.15"/>
    <n v="3320.58"/>
    <x v="0"/>
  </r>
  <r>
    <s v="CUST0332"/>
    <s v="Male"/>
    <s v="No"/>
    <s v="No"/>
    <s v="Yes"/>
    <x v="33"/>
    <x v="0"/>
    <x v="2"/>
    <x v="0"/>
    <n v="40.94"/>
    <n v="1606.74"/>
    <x v="0"/>
  </r>
  <r>
    <s v="CUST0333"/>
    <s v="Female"/>
    <s v="Yes"/>
    <s v="No"/>
    <s v="No"/>
    <x v="53"/>
    <x v="1"/>
    <x v="2"/>
    <x v="1"/>
    <n v="51.1"/>
    <n v="2215.5300000000002"/>
    <x v="0"/>
  </r>
  <r>
    <s v="CUST0334"/>
    <s v="Male"/>
    <s v="No"/>
    <s v="No"/>
    <s v="No"/>
    <x v="59"/>
    <x v="1"/>
    <x v="0"/>
    <x v="2"/>
    <n v="101.68"/>
    <n v="1384.98"/>
    <x v="1"/>
  </r>
  <r>
    <s v="CUST0335"/>
    <s v="Female"/>
    <s v="No"/>
    <s v="Yes"/>
    <s v="Yes"/>
    <x v="36"/>
    <x v="1"/>
    <x v="2"/>
    <x v="3"/>
    <n v="71.95"/>
    <n v="58.73"/>
    <x v="0"/>
  </r>
  <r>
    <s v="CUST0336"/>
    <s v="Female"/>
    <s v="No"/>
    <s v="Yes"/>
    <s v="No"/>
    <x v="69"/>
    <x v="1"/>
    <x v="0"/>
    <x v="0"/>
    <n v="88.64"/>
    <n v="994.55"/>
    <x v="0"/>
  </r>
  <r>
    <s v="CUST0337"/>
    <s v="Male"/>
    <s v="No"/>
    <s v="No"/>
    <s v="No"/>
    <x v="8"/>
    <x v="0"/>
    <x v="0"/>
    <x v="1"/>
    <n v="71.11"/>
    <n v="3634.69"/>
    <x v="1"/>
  </r>
  <r>
    <s v="CUST0338"/>
    <s v="Male"/>
    <s v="No"/>
    <s v="No"/>
    <s v="No"/>
    <x v="57"/>
    <x v="0"/>
    <x v="1"/>
    <x v="2"/>
    <n v="36.15"/>
    <n v="1665.97"/>
    <x v="0"/>
  </r>
  <r>
    <s v="CUST0339"/>
    <s v="Female"/>
    <s v="No"/>
    <s v="No"/>
    <s v="Yes"/>
    <x v="45"/>
    <x v="2"/>
    <x v="0"/>
    <x v="2"/>
    <n v="70.930000000000007"/>
    <n v="2004.06"/>
    <x v="0"/>
  </r>
  <r>
    <s v="CUST0340"/>
    <s v="Female"/>
    <s v="No"/>
    <s v="Yes"/>
    <s v="No"/>
    <x v="0"/>
    <x v="2"/>
    <x v="0"/>
    <x v="3"/>
    <n v="92.47"/>
    <n v="5140.1400000000003"/>
    <x v="1"/>
  </r>
  <r>
    <s v="CUST0341"/>
    <s v="Male"/>
    <s v="Yes"/>
    <s v="Yes"/>
    <s v="No"/>
    <x v="68"/>
    <x v="1"/>
    <x v="0"/>
    <x v="2"/>
    <n v="42.72"/>
    <n v="717.13"/>
    <x v="1"/>
  </r>
  <r>
    <s v="CUST0342"/>
    <s v="Female"/>
    <s v="No"/>
    <s v="No"/>
    <s v="Yes"/>
    <x v="6"/>
    <x v="1"/>
    <x v="2"/>
    <x v="1"/>
    <n v="111.25"/>
    <n v="5606.12"/>
    <x v="0"/>
  </r>
  <r>
    <s v="CUST0343"/>
    <s v="Male"/>
    <s v="No"/>
    <s v="No"/>
    <s v="Yes"/>
    <x v="48"/>
    <x v="1"/>
    <x v="0"/>
    <x v="3"/>
    <n v="94.37"/>
    <n v="4414.6499999999996"/>
    <x v="1"/>
  </r>
  <r>
    <s v="CUST0344"/>
    <s v="Female"/>
    <s v="No"/>
    <s v="No"/>
    <s v="No"/>
    <x v="20"/>
    <x v="1"/>
    <x v="0"/>
    <x v="1"/>
    <n v="66.599999999999994"/>
    <n v="4237.8599999999997"/>
    <x v="0"/>
  </r>
  <r>
    <s v="CUST0345"/>
    <s v="Male"/>
    <s v="Yes"/>
    <s v="No"/>
    <s v="No"/>
    <x v="31"/>
    <x v="2"/>
    <x v="2"/>
    <x v="1"/>
    <n v="90.34"/>
    <n v="633.91"/>
    <x v="1"/>
  </r>
  <r>
    <s v="CUST0346"/>
    <s v="Male"/>
    <s v="No"/>
    <s v="No"/>
    <s v="No"/>
    <x v="41"/>
    <x v="1"/>
    <x v="2"/>
    <x v="0"/>
    <n v="100.56"/>
    <n v="2050.4299999999998"/>
    <x v="0"/>
  </r>
  <r>
    <s v="CUST0347"/>
    <s v="Male"/>
    <s v="Yes"/>
    <s v="No"/>
    <s v="No"/>
    <x v="12"/>
    <x v="1"/>
    <x v="2"/>
    <x v="0"/>
    <n v="61.74"/>
    <n v="432.21"/>
    <x v="0"/>
  </r>
  <r>
    <s v="CUST0348"/>
    <s v="Female"/>
    <s v="No"/>
    <s v="Yes"/>
    <s v="No"/>
    <x v="0"/>
    <x v="1"/>
    <x v="1"/>
    <x v="1"/>
    <n v="49.59"/>
    <n v="2756.24"/>
    <x v="0"/>
  </r>
  <r>
    <s v="CUST0349"/>
    <s v="Female"/>
    <s v="No"/>
    <s v="No"/>
    <s v="No"/>
    <x v="55"/>
    <x v="0"/>
    <x v="2"/>
    <x v="2"/>
    <n v="107.34"/>
    <n v="3703.46"/>
    <x v="0"/>
  </r>
  <r>
    <s v="CUST0350"/>
    <s v="Male"/>
    <s v="No"/>
    <s v="Yes"/>
    <s v="Yes"/>
    <x v="0"/>
    <x v="0"/>
    <x v="2"/>
    <x v="0"/>
    <n v="122.97"/>
    <n v="7044.3"/>
    <x v="0"/>
  </r>
  <r>
    <s v="CUST0351"/>
    <s v="Female"/>
    <s v="Yes"/>
    <s v="No"/>
    <s v="No"/>
    <x v="34"/>
    <x v="1"/>
    <x v="0"/>
    <x v="0"/>
    <n v="80.739999999999995"/>
    <n v="3934.63"/>
    <x v="0"/>
  </r>
  <r>
    <s v="CUST0352"/>
    <s v="Male"/>
    <s v="No"/>
    <s v="No"/>
    <s v="No"/>
    <x v="53"/>
    <x v="2"/>
    <x v="0"/>
    <x v="3"/>
    <n v="51.04"/>
    <n v="2174.02"/>
    <x v="0"/>
  </r>
  <r>
    <s v="CUST0353"/>
    <s v="Male"/>
    <s v="No"/>
    <s v="Yes"/>
    <s v="No"/>
    <x v="20"/>
    <x v="1"/>
    <x v="2"/>
    <x v="0"/>
    <n v="58.23"/>
    <n v="3721.68"/>
    <x v="0"/>
  </r>
  <r>
    <s v="CUST0354"/>
    <s v="Female"/>
    <s v="No"/>
    <s v="Yes"/>
    <s v="No"/>
    <x v="53"/>
    <x v="1"/>
    <x v="1"/>
    <x v="1"/>
    <n v="80.83"/>
    <n v="3594.45"/>
    <x v="1"/>
  </r>
  <r>
    <s v="CUST0355"/>
    <s v="Female"/>
    <s v="No"/>
    <s v="Yes"/>
    <s v="No"/>
    <x v="27"/>
    <x v="2"/>
    <x v="1"/>
    <x v="1"/>
    <n v="29.24"/>
    <n v="559.04"/>
    <x v="0"/>
  </r>
  <r>
    <s v="CUST0356"/>
    <s v="Male"/>
    <s v="No"/>
    <s v="Yes"/>
    <s v="Yes"/>
    <x v="70"/>
    <x v="1"/>
    <x v="0"/>
    <x v="3"/>
    <n v="74.790000000000006"/>
    <n v="4782.9799999999996"/>
    <x v="0"/>
  </r>
  <r>
    <s v="CUST0357"/>
    <s v="Female"/>
    <s v="Yes"/>
    <s v="No"/>
    <s v="No"/>
    <x v="4"/>
    <x v="2"/>
    <x v="0"/>
    <x v="1"/>
    <n v="87.31"/>
    <n v="5709.45"/>
    <x v="0"/>
  </r>
  <r>
    <s v="CUST0358"/>
    <s v="Female"/>
    <s v="No"/>
    <s v="Yes"/>
    <s v="Yes"/>
    <x v="36"/>
    <x v="2"/>
    <x v="2"/>
    <x v="0"/>
    <n v="46.93"/>
    <n v="149.94999999999999"/>
    <x v="0"/>
  </r>
  <r>
    <s v="CUST0359"/>
    <s v="Male"/>
    <s v="No"/>
    <s v="No"/>
    <s v="No"/>
    <x v="25"/>
    <x v="0"/>
    <x v="2"/>
    <x v="0"/>
    <n v="97.41"/>
    <n v="4983.67"/>
    <x v="0"/>
  </r>
  <r>
    <s v="CUST0360"/>
    <s v="Male"/>
    <s v="Yes"/>
    <s v="Yes"/>
    <s v="Yes"/>
    <x v="70"/>
    <x v="0"/>
    <x v="0"/>
    <x v="0"/>
    <n v="97.35"/>
    <n v="6120.69"/>
    <x v="0"/>
  </r>
  <r>
    <s v="CUST0361"/>
    <s v="Female"/>
    <s v="No"/>
    <s v="No"/>
    <s v="Yes"/>
    <x v="62"/>
    <x v="1"/>
    <x v="2"/>
    <x v="1"/>
    <n v="120.24"/>
    <n v="4639.99"/>
    <x v="0"/>
  </r>
  <r>
    <s v="CUST0362"/>
    <s v="Male"/>
    <s v="No"/>
    <s v="No"/>
    <s v="No"/>
    <x v="15"/>
    <x v="2"/>
    <x v="2"/>
    <x v="0"/>
    <n v="89.54"/>
    <n v="5156.92"/>
    <x v="0"/>
  </r>
  <r>
    <s v="CUST0363"/>
    <s v="Male"/>
    <s v="No"/>
    <s v="No"/>
    <s v="Yes"/>
    <x v="44"/>
    <x v="1"/>
    <x v="0"/>
    <x v="0"/>
    <n v="55.98"/>
    <n v="3014.69"/>
    <x v="0"/>
  </r>
  <r>
    <s v="CUST0364"/>
    <s v="Female"/>
    <s v="No"/>
    <s v="No"/>
    <s v="No"/>
    <x v="17"/>
    <x v="0"/>
    <x v="2"/>
    <x v="3"/>
    <n v="83.26"/>
    <n v="5169.9399999999996"/>
    <x v="0"/>
  </r>
  <r>
    <s v="CUST0365"/>
    <s v="Male"/>
    <s v="No"/>
    <s v="No"/>
    <s v="No"/>
    <x v="60"/>
    <x v="2"/>
    <x v="1"/>
    <x v="1"/>
    <n v="79.7"/>
    <n v="146.78"/>
    <x v="0"/>
  </r>
  <r>
    <s v="CUST0366"/>
    <s v="Male"/>
    <s v="No"/>
    <s v="No"/>
    <s v="Yes"/>
    <x v="66"/>
    <x v="2"/>
    <x v="2"/>
    <x v="0"/>
    <n v="95.99"/>
    <n v="5488.37"/>
    <x v="0"/>
  </r>
  <r>
    <s v="CUST0367"/>
    <s v="Female"/>
    <s v="Yes"/>
    <s v="Yes"/>
    <s v="Yes"/>
    <x v="45"/>
    <x v="2"/>
    <x v="0"/>
    <x v="0"/>
    <n v="60.58"/>
    <n v="1673.78"/>
    <x v="0"/>
  </r>
  <r>
    <s v="CUST0368"/>
    <s v="Female"/>
    <s v="No"/>
    <s v="No"/>
    <s v="No"/>
    <x v="39"/>
    <x v="1"/>
    <x v="0"/>
    <x v="0"/>
    <n v="57.59"/>
    <n v="139.38"/>
    <x v="0"/>
  </r>
  <r>
    <s v="CUST0369"/>
    <s v="Male"/>
    <s v="No"/>
    <s v="Yes"/>
    <s v="No"/>
    <x v="17"/>
    <x v="2"/>
    <x v="0"/>
    <x v="2"/>
    <n v="51.51"/>
    <n v="3010.51"/>
    <x v="0"/>
  </r>
  <r>
    <s v="CUST0370"/>
    <s v="Male"/>
    <s v="No"/>
    <s v="Yes"/>
    <s v="No"/>
    <x v="34"/>
    <x v="0"/>
    <x v="2"/>
    <x v="1"/>
    <n v="110.12"/>
    <n v="5240"/>
    <x v="0"/>
  </r>
  <r>
    <s v="CUST0371"/>
    <s v="Female"/>
    <s v="No"/>
    <s v="No"/>
    <s v="No"/>
    <x v="54"/>
    <x v="2"/>
    <x v="0"/>
    <x v="1"/>
    <n v="95.57"/>
    <n v="831.73"/>
    <x v="1"/>
  </r>
  <r>
    <s v="CUST0372"/>
    <s v="Female"/>
    <s v="No"/>
    <s v="Yes"/>
    <s v="No"/>
    <x v="71"/>
    <x v="0"/>
    <x v="1"/>
    <x v="2"/>
    <n v="34.47"/>
    <n v="1029.43"/>
    <x v="0"/>
  </r>
  <r>
    <s v="CUST0373"/>
    <s v="Female"/>
    <s v="No"/>
    <s v="No"/>
    <s v="No"/>
    <x v="65"/>
    <x v="1"/>
    <x v="0"/>
    <x v="0"/>
    <n v="83.18"/>
    <n v="5081.1000000000004"/>
    <x v="0"/>
  </r>
  <r>
    <s v="CUST0374"/>
    <s v="Female"/>
    <s v="No"/>
    <s v="Yes"/>
    <s v="No"/>
    <x v="48"/>
    <x v="1"/>
    <x v="0"/>
    <x v="0"/>
    <n v="76.91"/>
    <n v="3451.98"/>
    <x v="0"/>
  </r>
  <r>
    <s v="CUST0375"/>
    <s v="Male"/>
    <s v="Yes"/>
    <s v="No"/>
    <s v="No"/>
    <x v="52"/>
    <x v="0"/>
    <x v="0"/>
    <x v="1"/>
    <n v="55.69"/>
    <n v="1310.83"/>
    <x v="1"/>
  </r>
  <r>
    <s v="CUST0376"/>
    <s v="Female"/>
    <s v="Yes"/>
    <s v="Yes"/>
    <s v="Yes"/>
    <x v="55"/>
    <x v="0"/>
    <x v="0"/>
    <x v="1"/>
    <n v="80.900000000000006"/>
    <n v="2938.47"/>
    <x v="0"/>
  </r>
  <r>
    <s v="CUST0377"/>
    <s v="Female"/>
    <s v="No"/>
    <s v="No"/>
    <s v="No"/>
    <x v="31"/>
    <x v="1"/>
    <x v="0"/>
    <x v="1"/>
    <n v="84.77"/>
    <n v="503.24"/>
    <x v="0"/>
  </r>
  <r>
    <s v="CUST0378"/>
    <s v="Male"/>
    <s v="No"/>
    <s v="No"/>
    <s v="No"/>
    <x v="47"/>
    <x v="0"/>
    <x v="1"/>
    <x v="1"/>
    <n v="103.28"/>
    <n v="7518.94"/>
    <x v="0"/>
  </r>
  <r>
    <s v="CUST0379"/>
    <s v="Female"/>
    <s v="Yes"/>
    <s v="No"/>
    <s v="No"/>
    <x v="32"/>
    <x v="1"/>
    <x v="2"/>
    <x v="0"/>
    <n v="53.61"/>
    <n v="3036.91"/>
    <x v="1"/>
  </r>
  <r>
    <s v="CUST0380"/>
    <s v="Male"/>
    <s v="No"/>
    <s v="No"/>
    <s v="No"/>
    <x v="53"/>
    <x v="2"/>
    <x v="0"/>
    <x v="3"/>
    <n v="37.270000000000003"/>
    <n v="1674.61"/>
    <x v="0"/>
  </r>
  <r>
    <s v="CUST0381"/>
    <s v="Female"/>
    <s v="No"/>
    <s v="Yes"/>
    <s v="No"/>
    <x v="17"/>
    <x v="1"/>
    <x v="0"/>
    <x v="1"/>
    <n v="53.78"/>
    <n v="3381.75"/>
    <x v="0"/>
  </r>
  <r>
    <s v="CUST0382"/>
    <s v="Female"/>
    <s v="No"/>
    <s v="No"/>
    <s v="No"/>
    <x v="22"/>
    <x v="1"/>
    <x v="0"/>
    <x v="1"/>
    <n v="57.68"/>
    <n v="2226.23"/>
    <x v="0"/>
  </r>
  <r>
    <s v="CUST0383"/>
    <s v="Female"/>
    <s v="Yes"/>
    <s v="Yes"/>
    <s v="No"/>
    <x v="32"/>
    <x v="1"/>
    <x v="1"/>
    <x v="1"/>
    <n v="44.33"/>
    <n v="2479.5100000000002"/>
    <x v="0"/>
  </r>
  <r>
    <s v="CUST0384"/>
    <s v="Male"/>
    <s v="Yes"/>
    <s v="Yes"/>
    <s v="No"/>
    <x v="70"/>
    <x v="1"/>
    <x v="1"/>
    <x v="0"/>
    <n v="28.84"/>
    <n v="1861.89"/>
    <x v="0"/>
  </r>
  <r>
    <s v="CUST0385"/>
    <s v="Male"/>
    <s v="No"/>
    <s v="Yes"/>
    <s v="No"/>
    <x v="72"/>
    <x v="1"/>
    <x v="0"/>
    <x v="1"/>
    <n v="100.55"/>
    <n v="4270.71"/>
    <x v="0"/>
  </r>
  <r>
    <s v="CUST0386"/>
    <s v="Female"/>
    <s v="No"/>
    <s v="No"/>
    <s v="No"/>
    <x v="28"/>
    <x v="1"/>
    <x v="2"/>
    <x v="3"/>
    <n v="42.1"/>
    <n v="1200.67"/>
    <x v="1"/>
  </r>
  <r>
    <s v="CUST0387"/>
    <s v="Male"/>
    <s v="No"/>
    <s v="Yes"/>
    <s v="No"/>
    <x v="15"/>
    <x v="1"/>
    <x v="2"/>
    <x v="2"/>
    <n v="70.5"/>
    <n v="3988.85"/>
    <x v="0"/>
  </r>
  <r>
    <s v="CUST0388"/>
    <s v="Male"/>
    <s v="No"/>
    <s v="Yes"/>
    <s v="No"/>
    <x v="35"/>
    <x v="2"/>
    <x v="0"/>
    <x v="3"/>
    <n v="130"/>
    <n v="9102.33"/>
    <x v="0"/>
  </r>
  <r>
    <s v="CUST0389"/>
    <s v="Male"/>
    <s v="Yes"/>
    <s v="Yes"/>
    <s v="No"/>
    <x v="54"/>
    <x v="2"/>
    <x v="1"/>
    <x v="3"/>
    <n v="68.84"/>
    <n v="645.86"/>
    <x v="0"/>
  </r>
  <r>
    <s v="CUST0390"/>
    <s v="Male"/>
    <s v="No"/>
    <s v="No"/>
    <s v="No"/>
    <x v="12"/>
    <x v="1"/>
    <x v="2"/>
    <x v="0"/>
    <n v="81.27"/>
    <n v="382.45"/>
    <x v="1"/>
  </r>
  <r>
    <s v="CUST0391"/>
    <s v="Male"/>
    <s v="No"/>
    <s v="No"/>
    <s v="No"/>
    <x v="28"/>
    <x v="2"/>
    <x v="2"/>
    <x v="0"/>
    <n v="116.43"/>
    <n v="3347.54"/>
    <x v="0"/>
  </r>
  <r>
    <s v="CUST0392"/>
    <s v="Male"/>
    <s v="No"/>
    <s v="Yes"/>
    <s v="Yes"/>
    <x v="32"/>
    <x v="1"/>
    <x v="2"/>
    <x v="1"/>
    <n v="101.14"/>
    <n v="6012.45"/>
    <x v="0"/>
  </r>
  <r>
    <s v="CUST0393"/>
    <s v="Female"/>
    <s v="No"/>
    <s v="No"/>
    <s v="No"/>
    <x v="11"/>
    <x v="0"/>
    <x v="0"/>
    <x v="0"/>
    <n v="94.13"/>
    <n v="1503.76"/>
    <x v="0"/>
  </r>
  <r>
    <s v="CUST0394"/>
    <s v="Female"/>
    <s v="No"/>
    <s v="No"/>
    <s v="Yes"/>
    <x v="5"/>
    <x v="0"/>
    <x v="2"/>
    <x v="3"/>
    <n v="62.23"/>
    <n v="982.59"/>
    <x v="0"/>
  </r>
  <r>
    <s v="CUST0395"/>
    <s v="Male"/>
    <s v="No"/>
    <s v="Yes"/>
    <s v="No"/>
    <x v="36"/>
    <x v="1"/>
    <x v="0"/>
    <x v="1"/>
    <n v="79.430000000000007"/>
    <n v="197.01"/>
    <x v="0"/>
  </r>
  <r>
    <s v="CUST0396"/>
    <s v="Female"/>
    <s v="No"/>
    <s v="Yes"/>
    <s v="No"/>
    <x v="51"/>
    <x v="1"/>
    <x v="0"/>
    <x v="3"/>
    <n v="78.22"/>
    <n v="1582.41"/>
    <x v="0"/>
  </r>
  <r>
    <s v="CUST0397"/>
    <s v="Female"/>
    <s v="No"/>
    <s v="No"/>
    <s v="Yes"/>
    <x v="70"/>
    <x v="1"/>
    <x v="0"/>
    <x v="1"/>
    <n v="69.959999999999994"/>
    <n v="4470.51"/>
    <x v="1"/>
  </r>
  <r>
    <s v="CUST0398"/>
    <s v="Female"/>
    <s v="No"/>
    <s v="Yes"/>
    <s v="Yes"/>
    <x v="55"/>
    <x v="1"/>
    <x v="0"/>
    <x v="3"/>
    <n v="85.3"/>
    <n v="2965.65"/>
    <x v="0"/>
  </r>
  <r>
    <s v="CUST0399"/>
    <s v="Female"/>
    <s v="Yes"/>
    <s v="No"/>
    <s v="No"/>
    <x v="17"/>
    <x v="0"/>
    <x v="0"/>
    <x v="3"/>
    <n v="88.77"/>
    <n v="5361.97"/>
    <x v="0"/>
  </r>
  <r>
    <s v="CUST0400"/>
    <s v="Male"/>
    <s v="Yes"/>
    <s v="No"/>
    <s v="No"/>
    <x v="61"/>
    <x v="1"/>
    <x v="2"/>
    <x v="2"/>
    <n v="38.880000000000003"/>
    <n v="1471.97"/>
    <x v="0"/>
  </r>
  <r>
    <s v="CUST0401"/>
    <s v="Female"/>
    <s v="No"/>
    <s v="No"/>
    <s v="No"/>
    <x v="61"/>
    <x v="1"/>
    <x v="0"/>
    <x v="2"/>
    <n v="120.8"/>
    <n v="4925.38"/>
    <x v="0"/>
  </r>
  <r>
    <s v="CUST0402"/>
    <s v="Female"/>
    <s v="Yes"/>
    <s v="No"/>
    <s v="Yes"/>
    <x v="65"/>
    <x v="1"/>
    <x v="0"/>
    <x v="0"/>
    <n v="90.24"/>
    <n v="5486.51"/>
    <x v="0"/>
  </r>
  <r>
    <s v="CUST0403"/>
    <s v="Male"/>
    <s v="No"/>
    <s v="No"/>
    <s v="No"/>
    <x v="24"/>
    <x v="1"/>
    <x v="1"/>
    <x v="3"/>
    <n v="48.43"/>
    <n v="505.98"/>
    <x v="0"/>
  </r>
  <r>
    <s v="CUST0404"/>
    <s v="Male"/>
    <s v="No"/>
    <s v="No"/>
    <s v="No"/>
    <x v="69"/>
    <x v="1"/>
    <x v="2"/>
    <x v="3"/>
    <n v="75.53"/>
    <n v="775.03"/>
    <x v="1"/>
  </r>
  <r>
    <s v="CUST0405"/>
    <s v="Female"/>
    <s v="No"/>
    <s v="Yes"/>
    <s v="No"/>
    <x v="25"/>
    <x v="1"/>
    <x v="2"/>
    <x v="2"/>
    <n v="93.26"/>
    <n v="4932.93"/>
    <x v="0"/>
  </r>
  <r>
    <s v="CUST0406"/>
    <s v="Female"/>
    <s v="No"/>
    <s v="Yes"/>
    <s v="No"/>
    <x v="5"/>
    <x v="2"/>
    <x v="2"/>
    <x v="2"/>
    <n v="33.33"/>
    <n v="450.29"/>
    <x v="0"/>
  </r>
  <r>
    <s v="CUST0407"/>
    <s v="Female"/>
    <s v="No"/>
    <s v="No"/>
    <s v="No"/>
    <x v="31"/>
    <x v="1"/>
    <x v="0"/>
    <x v="2"/>
    <n v="77.37"/>
    <n v="393.35"/>
    <x v="1"/>
  </r>
  <r>
    <s v="CUST0408"/>
    <s v="Female"/>
    <s v="No"/>
    <s v="No"/>
    <s v="Yes"/>
    <x v="15"/>
    <x v="1"/>
    <x v="0"/>
    <x v="3"/>
    <n v="50.35"/>
    <n v="3029.33"/>
    <x v="1"/>
  </r>
  <r>
    <s v="CUST0409"/>
    <s v="Female"/>
    <s v="No"/>
    <s v="No"/>
    <s v="No"/>
    <x v="0"/>
    <x v="0"/>
    <x v="2"/>
    <x v="0"/>
    <n v="136.43"/>
    <n v="7681.46"/>
    <x v="0"/>
  </r>
  <r>
    <s v="CUST0410"/>
    <s v="Female"/>
    <s v="No"/>
    <s v="Yes"/>
    <s v="No"/>
    <x v="62"/>
    <x v="1"/>
    <x v="0"/>
    <x v="3"/>
    <n v="83.45"/>
    <n v="3467.77"/>
    <x v="0"/>
  </r>
  <r>
    <s v="CUST0411"/>
    <s v="Male"/>
    <s v="No"/>
    <s v="No"/>
    <s v="No"/>
    <x v="15"/>
    <x v="0"/>
    <x v="2"/>
    <x v="0"/>
    <n v="40.56"/>
    <n v="2438.83"/>
    <x v="0"/>
  </r>
  <r>
    <s v="CUST0412"/>
    <s v="Female"/>
    <s v="No"/>
    <s v="Yes"/>
    <s v="Yes"/>
    <x v="39"/>
    <x v="0"/>
    <x v="2"/>
    <x v="1"/>
    <n v="140"/>
    <n v="247.24"/>
    <x v="0"/>
  </r>
  <r>
    <s v="CUST0413"/>
    <s v="Female"/>
    <s v="No"/>
    <s v="No"/>
    <s v="No"/>
    <x v="37"/>
    <x v="1"/>
    <x v="0"/>
    <x v="0"/>
    <n v="66.599999999999994"/>
    <n v="459.45"/>
    <x v="1"/>
  </r>
  <r>
    <s v="CUST0414"/>
    <s v="Male"/>
    <s v="No"/>
    <s v="No"/>
    <s v="Yes"/>
    <x v="72"/>
    <x v="1"/>
    <x v="2"/>
    <x v="0"/>
    <n v="64.77"/>
    <n v="2643.76"/>
    <x v="0"/>
  </r>
  <r>
    <s v="CUST0415"/>
    <s v="Male"/>
    <s v="No"/>
    <s v="Yes"/>
    <s v="No"/>
    <x v="69"/>
    <x v="1"/>
    <x v="0"/>
    <x v="1"/>
    <n v="76.58"/>
    <n v="769.18"/>
    <x v="0"/>
  </r>
  <r>
    <s v="CUST0416"/>
    <s v="Male"/>
    <s v="No"/>
    <s v="Yes"/>
    <s v="No"/>
    <x v="39"/>
    <x v="1"/>
    <x v="0"/>
    <x v="1"/>
    <n v="58.8"/>
    <n v="29.4"/>
    <x v="1"/>
  </r>
  <r>
    <s v="CUST0417"/>
    <s v="Male"/>
    <s v="No"/>
    <s v="No"/>
    <s v="No"/>
    <x v="18"/>
    <x v="1"/>
    <x v="0"/>
    <x v="0"/>
    <n v="86.18"/>
    <n v="4168.32"/>
    <x v="0"/>
  </r>
  <r>
    <s v="CUST0418"/>
    <s v="Female"/>
    <s v="No"/>
    <s v="No"/>
    <s v="Yes"/>
    <x v="7"/>
    <x v="1"/>
    <x v="2"/>
    <x v="1"/>
    <n v="20"/>
    <n v="422.1"/>
    <x v="0"/>
  </r>
  <r>
    <s v="CUST0419"/>
    <s v="Female"/>
    <s v="No"/>
    <s v="No"/>
    <s v="Yes"/>
    <x v="63"/>
    <x v="1"/>
    <x v="1"/>
    <x v="1"/>
    <n v="82.15"/>
    <n v="1902.49"/>
    <x v="0"/>
  </r>
  <r>
    <s v="CUST0420"/>
    <s v="Female"/>
    <s v="Yes"/>
    <s v="Yes"/>
    <s v="No"/>
    <x v="68"/>
    <x v="1"/>
    <x v="0"/>
    <x v="2"/>
    <n v="51.8"/>
    <n v="805.75"/>
    <x v="1"/>
  </r>
  <r>
    <s v="CUST0421"/>
    <s v="Female"/>
    <s v="No"/>
    <s v="Yes"/>
    <s v="Yes"/>
    <x v="17"/>
    <x v="0"/>
    <x v="0"/>
    <x v="3"/>
    <n v="69.62"/>
    <n v="4057.53"/>
    <x v="0"/>
  </r>
  <r>
    <s v="CUST0422"/>
    <s v="Female"/>
    <s v="No"/>
    <s v="Yes"/>
    <s v="Yes"/>
    <x v="17"/>
    <x v="0"/>
    <x v="2"/>
    <x v="2"/>
    <n v="88.79"/>
    <n v="5334.6"/>
    <x v="0"/>
  </r>
  <r>
    <s v="CUST0423"/>
    <s v="Female"/>
    <s v="No"/>
    <s v="Yes"/>
    <s v="No"/>
    <x v="40"/>
    <x v="1"/>
    <x v="2"/>
    <x v="3"/>
    <n v="64.89"/>
    <n v="2356.35"/>
    <x v="0"/>
  </r>
  <r>
    <s v="CUST0424"/>
    <s v="Male"/>
    <s v="No"/>
    <s v="Yes"/>
    <s v="No"/>
    <x v="4"/>
    <x v="1"/>
    <x v="2"/>
    <x v="2"/>
    <n v="65.91"/>
    <n v="4324.3599999999997"/>
    <x v="0"/>
  </r>
  <r>
    <s v="CUST0425"/>
    <s v="Female"/>
    <s v="No"/>
    <s v="Yes"/>
    <s v="Yes"/>
    <x v="40"/>
    <x v="2"/>
    <x v="2"/>
    <x v="1"/>
    <n v="44.7"/>
    <n v="1551.58"/>
    <x v="0"/>
  </r>
  <r>
    <s v="CUST0426"/>
    <s v="Male"/>
    <s v="Yes"/>
    <s v="No"/>
    <s v="No"/>
    <x v="4"/>
    <x v="0"/>
    <x v="0"/>
    <x v="2"/>
    <n v="132.38999999999999"/>
    <n v="8828.1299999999992"/>
    <x v="0"/>
  </r>
  <r>
    <s v="CUST0427"/>
    <s v="Male"/>
    <s v="No"/>
    <s v="No"/>
    <s v="Yes"/>
    <x v="65"/>
    <x v="2"/>
    <x v="1"/>
    <x v="2"/>
    <n v="68.290000000000006"/>
    <n v="4040.48"/>
    <x v="0"/>
  </r>
  <r>
    <s v="CUST0428"/>
    <s v="Female"/>
    <s v="No"/>
    <s v="Yes"/>
    <s v="No"/>
    <x v="56"/>
    <x v="1"/>
    <x v="0"/>
    <x v="0"/>
    <n v="52.93"/>
    <n v="51.89"/>
    <x v="1"/>
  </r>
  <r>
    <s v="CUST0429"/>
    <s v="Male"/>
    <s v="No"/>
    <s v="No"/>
    <s v="No"/>
    <x v="53"/>
    <x v="0"/>
    <x v="2"/>
    <x v="1"/>
    <n v="74.45"/>
    <n v="3280.11"/>
    <x v="0"/>
  </r>
  <r>
    <s v="CUST0430"/>
    <s v="Female"/>
    <s v="No"/>
    <s v="No"/>
    <s v="No"/>
    <x v="13"/>
    <x v="1"/>
    <x v="0"/>
    <x v="2"/>
    <n v="51.16"/>
    <n v="1456.4"/>
    <x v="0"/>
  </r>
  <r>
    <s v="CUST0431"/>
    <s v="Male"/>
    <s v="Yes"/>
    <s v="Yes"/>
    <s v="No"/>
    <x v="51"/>
    <x v="1"/>
    <x v="2"/>
    <x v="1"/>
    <n v="113.06"/>
    <n v="2242.17"/>
    <x v="1"/>
  </r>
  <r>
    <s v="CUST0432"/>
    <s v="Female"/>
    <s v="No"/>
    <s v="No"/>
    <s v="No"/>
    <x v="24"/>
    <x v="1"/>
    <x v="0"/>
    <x v="2"/>
    <n v="84.99"/>
    <n v="945.88"/>
    <x v="1"/>
  </r>
  <r>
    <s v="CUST0433"/>
    <s v="Male"/>
    <s v="No"/>
    <s v="Yes"/>
    <s v="No"/>
    <x v="10"/>
    <x v="1"/>
    <x v="0"/>
    <x v="1"/>
    <n v="55.61"/>
    <n v="1397.97"/>
    <x v="0"/>
  </r>
  <r>
    <s v="CUST0434"/>
    <s v="Female"/>
    <s v="No"/>
    <s v="Yes"/>
    <s v="Yes"/>
    <x v="2"/>
    <x v="1"/>
    <x v="0"/>
    <x v="0"/>
    <n v="97.44"/>
    <n v="537.88"/>
    <x v="1"/>
  </r>
  <r>
    <s v="CUST0435"/>
    <s v="Female"/>
    <s v="No"/>
    <s v="No"/>
    <s v="No"/>
    <x v="41"/>
    <x v="1"/>
    <x v="1"/>
    <x v="0"/>
    <n v="48.05"/>
    <n v="1174.21"/>
    <x v="1"/>
  </r>
  <r>
    <s v="CUST0436"/>
    <s v="Female"/>
    <s v="No"/>
    <s v="Yes"/>
    <s v="No"/>
    <x v="8"/>
    <x v="0"/>
    <x v="2"/>
    <x v="1"/>
    <n v="37.79"/>
    <n v="1971.2"/>
    <x v="0"/>
  </r>
  <r>
    <s v="CUST0437"/>
    <s v="Female"/>
    <s v="Yes"/>
    <s v="Yes"/>
    <s v="No"/>
    <x v="60"/>
    <x v="2"/>
    <x v="0"/>
    <x v="0"/>
    <n v="89.53"/>
    <n v="268.95999999999998"/>
    <x v="1"/>
  </r>
  <r>
    <s v="CUST0438"/>
    <s v="Female"/>
    <s v="No"/>
    <s v="Yes"/>
    <s v="No"/>
    <x v="63"/>
    <x v="1"/>
    <x v="1"/>
    <x v="2"/>
    <n v="63.82"/>
    <n v="1474.6"/>
    <x v="1"/>
  </r>
  <r>
    <s v="CUST0439"/>
    <s v="Male"/>
    <s v="Yes"/>
    <s v="Yes"/>
    <s v="No"/>
    <x v="49"/>
    <x v="1"/>
    <x v="0"/>
    <x v="3"/>
    <n v="108.44"/>
    <n v="7482.35"/>
    <x v="1"/>
  </r>
  <r>
    <s v="CUST0440"/>
    <s v="Male"/>
    <s v="No"/>
    <s v="Yes"/>
    <s v="Yes"/>
    <x v="16"/>
    <x v="1"/>
    <x v="0"/>
    <x v="3"/>
    <n v="81.61"/>
    <n v="2701.25"/>
    <x v="0"/>
  </r>
  <r>
    <s v="CUST0441"/>
    <s v="Male"/>
    <s v="No"/>
    <s v="Yes"/>
    <s v="No"/>
    <x v="13"/>
    <x v="0"/>
    <x v="1"/>
    <x v="0"/>
    <n v="57.68"/>
    <n v="1527.59"/>
    <x v="0"/>
  </r>
  <r>
    <s v="CUST0442"/>
    <s v="Female"/>
    <s v="No"/>
    <s v="Yes"/>
    <s v="No"/>
    <x v="31"/>
    <x v="1"/>
    <x v="2"/>
    <x v="2"/>
    <n v="74"/>
    <n v="480.11"/>
    <x v="0"/>
  </r>
  <r>
    <s v="CUST0443"/>
    <s v="Male"/>
    <s v="No"/>
    <s v="Yes"/>
    <s v="No"/>
    <x v="56"/>
    <x v="2"/>
    <x v="1"/>
    <x v="1"/>
    <n v="94.88"/>
    <n v="47.44"/>
    <x v="0"/>
  </r>
  <r>
    <s v="CUST0444"/>
    <s v="Female"/>
    <s v="No"/>
    <s v="No"/>
    <s v="No"/>
    <x v="67"/>
    <x v="1"/>
    <x v="2"/>
    <x v="1"/>
    <n v="62.25"/>
    <n v="2389"/>
    <x v="0"/>
  </r>
  <r>
    <s v="CUST0445"/>
    <s v="Female"/>
    <s v="No"/>
    <s v="No"/>
    <s v="No"/>
    <x v="30"/>
    <x v="1"/>
    <x v="0"/>
    <x v="1"/>
    <n v="91.74"/>
    <n v="5682.29"/>
    <x v="0"/>
  </r>
  <r>
    <s v="CUST0446"/>
    <s v="Male"/>
    <s v="Yes"/>
    <s v="No"/>
    <s v="No"/>
    <x v="41"/>
    <x v="0"/>
    <x v="1"/>
    <x v="0"/>
    <n v="70.42"/>
    <n v="1384.9"/>
    <x v="1"/>
  </r>
  <r>
    <s v="CUST0447"/>
    <s v="Male"/>
    <s v="Yes"/>
    <s v="Yes"/>
    <s v="Yes"/>
    <x v="49"/>
    <x v="2"/>
    <x v="2"/>
    <x v="1"/>
    <n v="78.739999999999995"/>
    <n v="5448.81"/>
    <x v="0"/>
  </r>
  <r>
    <s v="CUST0448"/>
    <s v="Female"/>
    <s v="No"/>
    <s v="Yes"/>
    <s v="Yes"/>
    <x v="51"/>
    <x v="1"/>
    <x v="0"/>
    <x v="1"/>
    <n v="71.3"/>
    <n v="1374"/>
    <x v="0"/>
  </r>
  <r>
    <s v="CUST0449"/>
    <s v="Male"/>
    <s v="No"/>
    <s v="No"/>
    <s v="Yes"/>
    <x v="38"/>
    <x v="1"/>
    <x v="2"/>
    <x v="2"/>
    <n v="73.02"/>
    <n v="2451.5100000000002"/>
    <x v="0"/>
  </r>
  <r>
    <s v="CUST0450"/>
    <s v="Female"/>
    <s v="No"/>
    <s v="No"/>
    <s v="No"/>
    <x v="9"/>
    <x v="2"/>
    <x v="1"/>
    <x v="2"/>
    <n v="52.66"/>
    <n v="235.5"/>
    <x v="1"/>
  </r>
  <r>
    <s v="CUST0451"/>
    <s v="Female"/>
    <s v="No"/>
    <s v="No"/>
    <s v="Yes"/>
    <x v="66"/>
    <x v="1"/>
    <x v="0"/>
    <x v="0"/>
    <n v="128.97999999999999"/>
    <n v="7731.5"/>
    <x v="0"/>
  </r>
  <r>
    <s v="CUST0452"/>
    <s v="Female"/>
    <s v="No"/>
    <s v="Yes"/>
    <s v="No"/>
    <x v="57"/>
    <x v="2"/>
    <x v="0"/>
    <x v="1"/>
    <n v="68.56"/>
    <n v="3093.33"/>
    <x v="1"/>
  </r>
  <r>
    <s v="CUST0453"/>
    <s v="Female"/>
    <s v="No"/>
    <s v="No"/>
    <s v="No"/>
    <x v="18"/>
    <x v="1"/>
    <x v="0"/>
    <x v="0"/>
    <n v="57.19"/>
    <n v="2745.43"/>
    <x v="0"/>
  </r>
  <r>
    <s v="CUST0454"/>
    <s v="Female"/>
    <s v="No"/>
    <s v="No"/>
    <s v="No"/>
    <x v="48"/>
    <x v="0"/>
    <x v="0"/>
    <x v="0"/>
    <n v="79.84"/>
    <n v="3712.09"/>
    <x v="0"/>
  </r>
  <r>
    <s v="CUST0455"/>
    <s v="Male"/>
    <s v="No"/>
    <s v="Yes"/>
    <s v="No"/>
    <x v="12"/>
    <x v="0"/>
    <x v="0"/>
    <x v="2"/>
    <n v="78.08"/>
    <n v="442.92"/>
    <x v="1"/>
  </r>
  <r>
    <s v="CUST0456"/>
    <s v="Male"/>
    <s v="No"/>
    <s v="No"/>
    <s v="Yes"/>
    <x v="3"/>
    <x v="1"/>
    <x v="0"/>
    <x v="1"/>
    <n v="84.92"/>
    <n v="4513.93"/>
    <x v="0"/>
  </r>
  <r>
    <s v="CUST0457"/>
    <s v="Female"/>
    <s v="No"/>
    <s v="Yes"/>
    <s v="No"/>
    <x v="15"/>
    <x v="2"/>
    <x v="0"/>
    <x v="2"/>
    <n v="68.56"/>
    <n v="3893.07"/>
    <x v="0"/>
  </r>
  <r>
    <s v="CUST0458"/>
    <s v="Female"/>
    <s v="Yes"/>
    <s v="Yes"/>
    <s v="No"/>
    <x v="28"/>
    <x v="1"/>
    <x v="0"/>
    <x v="3"/>
    <n v="82.76"/>
    <n v="2334.29"/>
    <x v="0"/>
  </r>
  <r>
    <s v="CUST0459"/>
    <s v="Male"/>
    <s v="No"/>
    <s v="Yes"/>
    <s v="No"/>
    <x v="35"/>
    <x v="1"/>
    <x v="2"/>
    <x v="1"/>
    <n v="73.239999999999995"/>
    <n v="4990.2700000000004"/>
    <x v="0"/>
  </r>
  <r>
    <s v="CUST0460"/>
    <s v="Male"/>
    <s v="No"/>
    <s v="No"/>
    <s v="No"/>
    <x v="68"/>
    <x v="0"/>
    <x v="2"/>
    <x v="3"/>
    <n v="92.65"/>
    <n v="1550.05"/>
    <x v="0"/>
  </r>
  <r>
    <s v="CUST0461"/>
    <s v="Female"/>
    <s v="Yes"/>
    <s v="No"/>
    <s v="No"/>
    <x v="39"/>
    <x v="1"/>
    <x v="2"/>
    <x v="0"/>
    <n v="72.33"/>
    <n v="36.164999999999999"/>
    <x v="0"/>
  </r>
  <r>
    <s v="CUST0462"/>
    <s v="Male"/>
    <s v="No"/>
    <s v="Yes"/>
    <s v="No"/>
    <x v="31"/>
    <x v="0"/>
    <x v="1"/>
    <x v="1"/>
    <n v="57.56"/>
    <n v="473.12"/>
    <x v="1"/>
  </r>
  <r>
    <s v="CUST0463"/>
    <s v="Female"/>
    <s v="No"/>
    <s v="No"/>
    <s v="No"/>
    <x v="25"/>
    <x v="1"/>
    <x v="0"/>
    <x v="0"/>
    <n v="92.91"/>
    <n v="4904.21"/>
    <x v="0"/>
  </r>
  <r>
    <s v="CUST0464"/>
    <s v="Male"/>
    <s v="No"/>
    <s v="No"/>
    <s v="No"/>
    <x v="40"/>
    <x v="1"/>
    <x v="0"/>
    <x v="1"/>
    <n v="101.69"/>
    <n v="3857.47"/>
    <x v="1"/>
  </r>
  <r>
    <s v="CUST0465"/>
    <s v="Female"/>
    <s v="No"/>
    <s v="No"/>
    <s v="No"/>
    <x v="48"/>
    <x v="1"/>
    <x v="0"/>
    <x v="1"/>
    <n v="55.41"/>
    <n v="2610.58"/>
    <x v="0"/>
  </r>
  <r>
    <s v="CUST0466"/>
    <s v="Male"/>
    <s v="No"/>
    <s v="No"/>
    <s v="Yes"/>
    <x v="10"/>
    <x v="1"/>
    <x v="2"/>
    <x v="0"/>
    <n v="38.69"/>
    <n v="1148.06"/>
    <x v="0"/>
  </r>
  <r>
    <s v="CUST0467"/>
    <s v="Female"/>
    <s v="No"/>
    <s v="Yes"/>
    <s v="No"/>
    <x v="27"/>
    <x v="1"/>
    <x v="2"/>
    <x v="2"/>
    <n v="112.39"/>
    <n v="2024.41"/>
    <x v="0"/>
  </r>
  <r>
    <s v="CUST0468"/>
    <s v="Male"/>
    <s v="No"/>
    <s v="No"/>
    <s v="Yes"/>
    <x v="7"/>
    <x v="0"/>
    <x v="0"/>
    <x v="3"/>
    <n v="97.6"/>
    <n v="1202.97"/>
    <x v="0"/>
  </r>
  <r>
    <s v="CUST0469"/>
    <s v="Male"/>
    <s v="No"/>
    <s v="Yes"/>
    <s v="No"/>
    <x v="43"/>
    <x v="2"/>
    <x v="0"/>
    <x v="2"/>
    <n v="74.52"/>
    <n v="3096.95"/>
    <x v="0"/>
  </r>
  <r>
    <s v="CUST0470"/>
    <s v="Female"/>
    <s v="No"/>
    <s v="Yes"/>
    <s v="No"/>
    <x v="65"/>
    <x v="2"/>
    <x v="1"/>
    <x v="1"/>
    <n v="55.49"/>
    <n v="3447.32"/>
    <x v="0"/>
  </r>
  <r>
    <s v="CUST0471"/>
    <s v="Male"/>
    <s v="No"/>
    <s v="No"/>
    <s v="Yes"/>
    <x v="71"/>
    <x v="1"/>
    <x v="0"/>
    <x v="2"/>
    <n v="70.19"/>
    <n v="2200.52"/>
    <x v="0"/>
  </r>
  <r>
    <s v="CUST0472"/>
    <s v="Female"/>
    <s v="No"/>
    <s v="Yes"/>
    <s v="No"/>
    <x v="65"/>
    <x v="1"/>
    <x v="0"/>
    <x v="2"/>
    <n v="85.28"/>
    <n v="4888.6499999999996"/>
    <x v="0"/>
  </r>
  <r>
    <s v="CUST0473"/>
    <s v="Male"/>
    <s v="No"/>
    <s v="No"/>
    <s v="No"/>
    <x v="4"/>
    <x v="1"/>
    <x v="0"/>
    <x v="3"/>
    <n v="55.7"/>
    <n v="3714.53"/>
    <x v="0"/>
  </r>
  <r>
    <s v="CUST0474"/>
    <s v="Female"/>
    <s v="No"/>
    <s v="No"/>
    <s v="No"/>
    <x v="38"/>
    <x v="1"/>
    <x v="1"/>
    <x v="3"/>
    <n v="76"/>
    <n v="2663.81"/>
    <x v="0"/>
  </r>
  <r>
    <s v="CUST0475"/>
    <s v="Male"/>
    <s v="Yes"/>
    <s v="Yes"/>
    <s v="No"/>
    <x v="59"/>
    <x v="1"/>
    <x v="0"/>
    <x v="3"/>
    <n v="84.39"/>
    <n v="1287.75"/>
    <x v="1"/>
  </r>
  <r>
    <s v="CUST0476"/>
    <s v="Female"/>
    <s v="No"/>
    <s v="Yes"/>
    <s v="No"/>
    <x v="5"/>
    <x v="1"/>
    <x v="2"/>
    <x v="0"/>
    <n v="75.290000000000006"/>
    <n v="1035.22"/>
    <x v="0"/>
  </r>
  <r>
    <s v="CUST0477"/>
    <s v="Male"/>
    <s v="No"/>
    <s v="Yes"/>
    <s v="Yes"/>
    <x v="24"/>
    <x v="1"/>
    <x v="0"/>
    <x v="2"/>
    <n v="57.65"/>
    <n v="739.03"/>
    <x v="0"/>
  </r>
  <r>
    <s v="CUST0478"/>
    <s v="Female"/>
    <s v="Yes"/>
    <s v="Yes"/>
    <s v="No"/>
    <x v="38"/>
    <x v="2"/>
    <x v="0"/>
    <x v="1"/>
    <n v="93.11"/>
    <n v="3181.35"/>
    <x v="0"/>
  </r>
  <r>
    <s v="CUST0479"/>
    <s v="Male"/>
    <s v="No"/>
    <s v="No"/>
    <s v="Yes"/>
    <x v="15"/>
    <x v="1"/>
    <x v="0"/>
    <x v="3"/>
    <n v="58.23"/>
    <n v="3411.85"/>
    <x v="0"/>
  </r>
  <r>
    <s v="CUST0480"/>
    <s v="Female"/>
    <s v="No"/>
    <s v="No"/>
    <s v="No"/>
    <x v="51"/>
    <x v="1"/>
    <x v="2"/>
    <x v="1"/>
    <n v="52.7"/>
    <n v="1133.9100000000001"/>
    <x v="0"/>
  </r>
  <r>
    <s v="CUST0481"/>
    <s v="Female"/>
    <s v="No"/>
    <s v="No"/>
    <s v="Yes"/>
    <x v="25"/>
    <x v="1"/>
    <x v="1"/>
    <x v="1"/>
    <n v="57.19"/>
    <n v="3123.61"/>
    <x v="0"/>
  </r>
  <r>
    <s v="CUST0482"/>
    <s v="Female"/>
    <s v="No"/>
    <s v="Yes"/>
    <s v="No"/>
    <x v="45"/>
    <x v="1"/>
    <x v="1"/>
    <x v="1"/>
    <n v="117.68"/>
    <n v="3360.26"/>
    <x v="0"/>
  </r>
  <r>
    <s v="CUST0483"/>
    <s v="Male"/>
    <s v="Yes"/>
    <s v="Yes"/>
    <s v="No"/>
    <x v="48"/>
    <x v="2"/>
    <x v="2"/>
    <x v="2"/>
    <n v="74.290000000000006"/>
    <n v="3512.86"/>
    <x v="0"/>
  </r>
  <r>
    <s v="CUST0484"/>
    <s v="Female"/>
    <s v="Yes"/>
    <s v="Yes"/>
    <s v="Yes"/>
    <x v="38"/>
    <x v="1"/>
    <x v="1"/>
    <x v="0"/>
    <n v="20"/>
    <n v="683.29"/>
    <x v="0"/>
  </r>
  <r>
    <s v="CUST0485"/>
    <s v="Male"/>
    <s v="No"/>
    <s v="No"/>
    <s v="No"/>
    <x v="40"/>
    <x v="1"/>
    <x v="2"/>
    <x v="0"/>
    <n v="53.94"/>
    <n v="1976.63"/>
    <x v="0"/>
  </r>
  <r>
    <s v="CUST0486"/>
    <s v="Female"/>
    <s v="No"/>
    <s v="Yes"/>
    <s v="No"/>
    <x v="71"/>
    <x v="1"/>
    <x v="2"/>
    <x v="3"/>
    <n v="87.09"/>
    <n v="2601.1999999999998"/>
    <x v="0"/>
  </r>
  <r>
    <s v="CUST0487"/>
    <s v="Male"/>
    <s v="No"/>
    <s v="No"/>
    <s v="No"/>
    <x v="29"/>
    <x v="1"/>
    <x v="2"/>
    <x v="3"/>
    <n v="41.79"/>
    <n v="976.85"/>
    <x v="0"/>
  </r>
  <r>
    <s v="CUST0488"/>
    <s v="Female"/>
    <s v="No"/>
    <s v="Yes"/>
    <s v="No"/>
    <x v="34"/>
    <x v="1"/>
    <x v="2"/>
    <x v="1"/>
    <n v="90.78"/>
    <n v="4309.28"/>
    <x v="0"/>
  </r>
  <r>
    <s v="CUST0489"/>
    <s v="Male"/>
    <s v="No"/>
    <s v="No"/>
    <s v="No"/>
    <x v="58"/>
    <x v="2"/>
    <x v="0"/>
    <x v="1"/>
    <n v="83.97"/>
    <n v="2673.71"/>
    <x v="0"/>
  </r>
  <r>
    <s v="CUST0490"/>
    <s v="Male"/>
    <s v="No"/>
    <s v="No"/>
    <s v="No"/>
    <x v="44"/>
    <x v="2"/>
    <x v="2"/>
    <x v="3"/>
    <n v="94.78"/>
    <n v="5219.66"/>
    <x v="0"/>
  </r>
  <r>
    <s v="CUST0491"/>
    <s v="Female"/>
    <s v="No"/>
    <s v="Yes"/>
    <s v="Yes"/>
    <x v="32"/>
    <x v="0"/>
    <x v="2"/>
    <x v="3"/>
    <n v="56.03"/>
    <n v="3128.06"/>
    <x v="0"/>
  </r>
  <r>
    <s v="CUST0492"/>
    <s v="Male"/>
    <s v="No"/>
    <s v="Yes"/>
    <s v="Yes"/>
    <x v="36"/>
    <x v="1"/>
    <x v="2"/>
    <x v="0"/>
    <n v="54.08"/>
    <n v="213.63"/>
    <x v="0"/>
  </r>
  <r>
    <s v="CUST0493"/>
    <s v="Male"/>
    <s v="No"/>
    <s v="No"/>
    <s v="No"/>
    <x v="14"/>
    <x v="2"/>
    <x v="2"/>
    <x v="2"/>
    <n v="84.12"/>
    <n v="5654.66"/>
    <x v="0"/>
  </r>
  <r>
    <s v="CUST0494"/>
    <s v="Female"/>
    <s v="No"/>
    <s v="No"/>
    <s v="No"/>
    <x v="37"/>
    <x v="1"/>
    <x v="2"/>
    <x v="1"/>
    <n v="69.81"/>
    <n v="700.11"/>
    <x v="0"/>
  </r>
  <r>
    <s v="CUST0495"/>
    <s v="Male"/>
    <s v="No"/>
    <s v="Yes"/>
    <s v="No"/>
    <x v="52"/>
    <x v="1"/>
    <x v="0"/>
    <x v="3"/>
    <n v="78.3"/>
    <n v="1984.52"/>
    <x v="0"/>
  </r>
  <r>
    <s v="CUST0496"/>
    <s v="Male"/>
    <s v="Yes"/>
    <s v="Yes"/>
    <s v="No"/>
    <x v="23"/>
    <x v="0"/>
    <x v="2"/>
    <x v="2"/>
    <n v="109.22"/>
    <n v="7310.18"/>
    <x v="0"/>
  </r>
  <r>
    <s v="CUST0497"/>
    <s v="Male"/>
    <s v="No"/>
    <s v="No"/>
    <s v="No"/>
    <x v="65"/>
    <x v="1"/>
    <x v="1"/>
    <x v="0"/>
    <n v="70.099999999999994"/>
    <n v="4141.16"/>
    <x v="0"/>
  </r>
  <r>
    <s v="CUST0498"/>
    <s v="Female"/>
    <s v="Yes"/>
    <s v="Yes"/>
    <s v="No"/>
    <x v="28"/>
    <x v="1"/>
    <x v="0"/>
    <x v="1"/>
    <n v="30.25"/>
    <n v="799.91"/>
    <x v="0"/>
  </r>
  <r>
    <s v="CUST0499"/>
    <s v="Male"/>
    <s v="No"/>
    <s v="No"/>
    <s v="No"/>
    <x v="19"/>
    <x v="0"/>
    <x v="2"/>
    <x v="3"/>
    <n v="89.98"/>
    <n v="1648.59"/>
    <x v="0"/>
  </r>
  <r>
    <s v="CUST0500"/>
    <s v="Female"/>
    <s v="No"/>
    <s v="No"/>
    <s v="No"/>
    <x v="43"/>
    <x v="1"/>
    <x v="1"/>
    <x v="2"/>
    <n v="72.47"/>
    <n v="3200.91"/>
    <x v="0"/>
  </r>
  <r>
    <s v="CUST0501"/>
    <s v="Male"/>
    <s v="No"/>
    <s v="Yes"/>
    <s v="No"/>
    <x v="20"/>
    <x v="0"/>
    <x v="2"/>
    <x v="1"/>
    <n v="99.62"/>
    <n v="6339.88"/>
    <x v="0"/>
  </r>
  <r>
    <s v="CUST0502"/>
    <s v="Male"/>
    <s v="No"/>
    <s v="Yes"/>
    <s v="No"/>
    <x v="65"/>
    <x v="1"/>
    <x v="2"/>
    <x v="2"/>
    <n v="46.51"/>
    <n v="2798.62"/>
    <x v="0"/>
  </r>
  <r>
    <s v="CUST0503"/>
    <s v="Male"/>
    <s v="No"/>
    <s v="Yes"/>
    <s v="No"/>
    <x v="43"/>
    <x v="2"/>
    <x v="2"/>
    <x v="2"/>
    <n v="78.12"/>
    <n v="3273.99"/>
    <x v="0"/>
  </r>
  <r>
    <s v="CUST0504"/>
    <s v="Female"/>
    <s v="No"/>
    <s v="Yes"/>
    <s v="No"/>
    <x v="52"/>
    <x v="2"/>
    <x v="2"/>
    <x v="0"/>
    <n v="72.790000000000006"/>
    <n v="1710.44"/>
    <x v="0"/>
  </r>
  <r>
    <s v="CUST0505"/>
    <s v="Male"/>
    <s v="No"/>
    <s v="Yes"/>
    <s v="Yes"/>
    <x v="27"/>
    <x v="2"/>
    <x v="0"/>
    <x v="2"/>
    <n v="56.06"/>
    <n v="1058.68"/>
    <x v="0"/>
  </r>
  <r>
    <s v="CUST0506"/>
    <s v="Male"/>
    <s v="No"/>
    <s v="No"/>
    <s v="Yes"/>
    <x v="48"/>
    <x v="1"/>
    <x v="0"/>
    <x v="2"/>
    <n v="103.67"/>
    <n v="4829.1099999999997"/>
    <x v="0"/>
  </r>
  <r>
    <s v="CUST0507"/>
    <s v="Female"/>
    <s v="No"/>
    <s v="No"/>
    <s v="No"/>
    <x v="29"/>
    <x v="1"/>
    <x v="2"/>
    <x v="3"/>
    <n v="63.96"/>
    <n v="1570.53"/>
    <x v="0"/>
  </r>
  <r>
    <s v="CUST0508"/>
    <s v="Male"/>
    <s v="No"/>
    <s v="Yes"/>
    <s v="No"/>
    <x v="69"/>
    <x v="1"/>
    <x v="0"/>
    <x v="1"/>
    <n v="108.82"/>
    <n v="1195.5999999999999"/>
    <x v="1"/>
  </r>
  <r>
    <s v="CUST0509"/>
    <s v="Female"/>
    <s v="No"/>
    <s v="Yes"/>
    <s v="No"/>
    <x v="44"/>
    <x v="1"/>
    <x v="2"/>
    <x v="1"/>
    <n v="51.43"/>
    <n v="2784.27"/>
    <x v="1"/>
  </r>
  <r>
    <s v="CUST0510"/>
    <s v="Female"/>
    <s v="No"/>
    <s v="Yes"/>
    <s v="No"/>
    <x v="13"/>
    <x v="1"/>
    <x v="0"/>
    <x v="1"/>
    <n v="43.49"/>
    <n v="1162.94"/>
    <x v="0"/>
  </r>
  <r>
    <s v="CUST0511"/>
    <s v="Male"/>
    <s v="No"/>
    <s v="No"/>
    <s v="Yes"/>
    <x v="14"/>
    <x v="0"/>
    <x v="2"/>
    <x v="2"/>
    <n v="63.94"/>
    <n v="4308.4799999999996"/>
    <x v="0"/>
  </r>
  <r>
    <s v="CUST0512"/>
    <s v="Female"/>
    <s v="No"/>
    <s v="Yes"/>
    <s v="No"/>
    <x v="30"/>
    <x v="1"/>
    <x v="2"/>
    <x v="2"/>
    <n v="75.8"/>
    <n v="4706.82"/>
    <x v="0"/>
  </r>
  <r>
    <s v="CUST0513"/>
    <s v="Male"/>
    <s v="No"/>
    <s v="Yes"/>
    <s v="No"/>
    <x v="15"/>
    <x v="2"/>
    <x v="2"/>
    <x v="3"/>
    <n v="56.65"/>
    <n v="3433.53"/>
    <x v="0"/>
  </r>
  <r>
    <s v="CUST0514"/>
    <s v="Female"/>
    <s v="Yes"/>
    <s v="No"/>
    <s v="No"/>
    <x v="9"/>
    <x v="1"/>
    <x v="2"/>
    <x v="2"/>
    <n v="20"/>
    <n v="71.7"/>
    <x v="0"/>
  </r>
  <r>
    <s v="CUST0515"/>
    <s v="Female"/>
    <s v="No"/>
    <s v="No"/>
    <s v="No"/>
    <x v="6"/>
    <x v="1"/>
    <x v="0"/>
    <x v="0"/>
    <n v="89.59"/>
    <n v="4412.3500000000004"/>
    <x v="0"/>
  </r>
  <r>
    <s v="CUST0516"/>
    <s v="Male"/>
    <s v="No"/>
    <s v="Yes"/>
    <s v="No"/>
    <x v="51"/>
    <x v="1"/>
    <x v="0"/>
    <x v="3"/>
    <n v="89.47"/>
    <n v="1757.58"/>
    <x v="0"/>
  </r>
  <r>
    <s v="CUST0517"/>
    <s v="Female"/>
    <s v="No"/>
    <s v="Yes"/>
    <s v="Yes"/>
    <x v="7"/>
    <x v="2"/>
    <x v="2"/>
    <x v="1"/>
    <n v="87.18"/>
    <n v="1019.26"/>
    <x v="1"/>
  </r>
  <r>
    <s v="CUST0518"/>
    <s v="Female"/>
    <s v="No"/>
    <s v="Yes"/>
    <s v="No"/>
    <x v="18"/>
    <x v="0"/>
    <x v="0"/>
    <x v="3"/>
    <n v="70.489999999999995"/>
    <n v="3396.59"/>
    <x v="0"/>
  </r>
  <r>
    <s v="CUST0519"/>
    <s v="Female"/>
    <s v="No"/>
    <s v="No"/>
    <s v="No"/>
    <x v="60"/>
    <x v="2"/>
    <x v="0"/>
    <x v="0"/>
    <n v="69.12"/>
    <n v="204.66"/>
    <x v="0"/>
  </r>
  <r>
    <s v="CUST0520"/>
    <s v="Female"/>
    <s v="Yes"/>
    <s v="Yes"/>
    <s v="No"/>
    <x v="61"/>
    <x v="2"/>
    <x v="1"/>
    <x v="2"/>
    <n v="91.01"/>
    <n v="3769.24"/>
    <x v="0"/>
  </r>
  <r>
    <s v="CUST0521"/>
    <s v="Female"/>
    <s v="No"/>
    <s v="Yes"/>
    <s v="No"/>
    <x v="40"/>
    <x v="1"/>
    <x v="2"/>
    <x v="2"/>
    <n v="30.61"/>
    <n v="1081.22"/>
    <x v="1"/>
  </r>
  <r>
    <s v="CUST0522"/>
    <s v="Male"/>
    <s v="No"/>
    <s v="Yes"/>
    <s v="Yes"/>
    <x v="52"/>
    <x v="1"/>
    <x v="0"/>
    <x v="2"/>
    <n v="73.819999999999993"/>
    <n v="1630.53"/>
    <x v="1"/>
  </r>
  <r>
    <s v="CUST0523"/>
    <s v="Female"/>
    <s v="No"/>
    <s v="No"/>
    <s v="Yes"/>
    <x v="26"/>
    <x v="1"/>
    <x v="1"/>
    <x v="1"/>
    <n v="58.56"/>
    <n v="675.57"/>
    <x v="0"/>
  </r>
  <r>
    <s v="CUST0524"/>
    <s v="Male"/>
    <s v="No"/>
    <s v="No"/>
    <s v="No"/>
    <x v="58"/>
    <x v="0"/>
    <x v="0"/>
    <x v="0"/>
    <n v="95.15"/>
    <n v="2880.95"/>
    <x v="1"/>
  </r>
  <r>
    <s v="CUST0525"/>
    <s v="Female"/>
    <s v="No"/>
    <s v="Yes"/>
    <s v="No"/>
    <x v="69"/>
    <x v="1"/>
    <x v="0"/>
    <x v="0"/>
    <n v="84.24"/>
    <n v="824.09"/>
    <x v="1"/>
  </r>
  <r>
    <s v="CUST0526"/>
    <s v="Male"/>
    <s v="No"/>
    <s v="Yes"/>
    <s v="Yes"/>
    <x v="65"/>
    <x v="1"/>
    <x v="2"/>
    <x v="3"/>
    <n v="46.95"/>
    <n v="2820.54"/>
    <x v="0"/>
  </r>
  <r>
    <s v="CUST0527"/>
    <s v="Male"/>
    <s v="No"/>
    <s v="No"/>
    <s v="Yes"/>
    <x v="68"/>
    <x v="2"/>
    <x v="2"/>
    <x v="0"/>
    <n v="99.19"/>
    <n v="1752.13"/>
    <x v="0"/>
  </r>
  <r>
    <s v="CUST0528"/>
    <s v="Female"/>
    <s v="No"/>
    <s v="No"/>
    <s v="No"/>
    <x v="10"/>
    <x v="2"/>
    <x v="0"/>
    <x v="3"/>
    <n v="80.05"/>
    <n v="1983.12"/>
    <x v="0"/>
  </r>
  <r>
    <s v="CUST0529"/>
    <s v="Female"/>
    <s v="No"/>
    <s v="No"/>
    <s v="Yes"/>
    <x v="44"/>
    <x v="0"/>
    <x v="0"/>
    <x v="0"/>
    <n v="38.299999999999997"/>
    <n v="2122.46"/>
    <x v="1"/>
  </r>
  <r>
    <s v="CUST0530"/>
    <s v="Female"/>
    <s v="No"/>
    <s v="No"/>
    <s v="No"/>
    <x v="25"/>
    <x v="0"/>
    <x v="2"/>
    <x v="0"/>
    <n v="75.23"/>
    <n v="3957.52"/>
    <x v="0"/>
  </r>
  <r>
    <s v="CUST0531"/>
    <s v="Male"/>
    <s v="Yes"/>
    <s v="No"/>
    <s v="No"/>
    <x v="51"/>
    <x v="0"/>
    <x v="0"/>
    <x v="3"/>
    <n v="91.88"/>
    <n v="1694.76"/>
    <x v="0"/>
  </r>
  <r>
    <s v="CUST0532"/>
    <s v="Female"/>
    <s v="No"/>
    <s v="No"/>
    <s v="No"/>
    <x v="72"/>
    <x v="1"/>
    <x v="0"/>
    <x v="2"/>
    <n v="129.02000000000001"/>
    <n v="5548.95"/>
    <x v="0"/>
  </r>
  <r>
    <s v="CUST0533"/>
    <s v="Male"/>
    <s v="No"/>
    <s v="No"/>
    <s v="Yes"/>
    <x v="9"/>
    <x v="1"/>
    <x v="0"/>
    <x v="3"/>
    <n v="90.22"/>
    <n v="466.18"/>
    <x v="1"/>
  </r>
  <r>
    <s v="CUST0534"/>
    <s v="Male"/>
    <s v="Yes"/>
    <s v="No"/>
    <s v="Yes"/>
    <x v="33"/>
    <x v="0"/>
    <x v="0"/>
    <x v="2"/>
    <n v="42.95"/>
    <n v="1788.65"/>
    <x v="0"/>
  </r>
  <r>
    <s v="CUST0535"/>
    <s v="Male"/>
    <s v="Yes"/>
    <s v="No"/>
    <s v="No"/>
    <x v="15"/>
    <x v="0"/>
    <x v="0"/>
    <x v="0"/>
    <n v="43.83"/>
    <n v="2536.04"/>
    <x v="0"/>
  </r>
  <r>
    <s v="CUST0536"/>
    <s v="Female"/>
    <s v="No"/>
    <s v="Yes"/>
    <s v="No"/>
    <x v="25"/>
    <x v="1"/>
    <x v="2"/>
    <x v="1"/>
    <n v="101.47"/>
    <n v="5467.97"/>
    <x v="0"/>
  </r>
  <r>
    <s v="CUST0537"/>
    <s v="Female"/>
    <s v="No"/>
    <s v="Yes"/>
    <s v="No"/>
    <x v="41"/>
    <x v="2"/>
    <x v="1"/>
    <x v="0"/>
    <n v="34.93"/>
    <n v="748.91"/>
    <x v="0"/>
  </r>
  <r>
    <s v="CUST0538"/>
    <s v="Male"/>
    <s v="No"/>
    <s v="Yes"/>
    <s v="Yes"/>
    <x v="50"/>
    <x v="1"/>
    <x v="2"/>
    <x v="1"/>
    <n v="31.26"/>
    <n v="2079.14"/>
    <x v="0"/>
  </r>
  <r>
    <s v="CUST0539"/>
    <s v="Male"/>
    <s v="Yes"/>
    <s v="No"/>
    <s v="No"/>
    <x v="70"/>
    <x v="1"/>
    <x v="2"/>
    <x v="2"/>
    <n v="95.01"/>
    <n v="5852.7"/>
    <x v="0"/>
  </r>
  <r>
    <s v="CUST0540"/>
    <s v="Female"/>
    <s v="No"/>
    <s v="Yes"/>
    <s v="No"/>
    <x v="35"/>
    <x v="0"/>
    <x v="2"/>
    <x v="1"/>
    <n v="58.11"/>
    <n v="3967.73"/>
    <x v="0"/>
  </r>
  <r>
    <s v="CUST0541"/>
    <s v="Male"/>
    <s v="No"/>
    <s v="No"/>
    <s v="No"/>
    <x v="60"/>
    <x v="1"/>
    <x v="2"/>
    <x v="1"/>
    <n v="93.68"/>
    <n v="339.36"/>
    <x v="1"/>
  </r>
  <r>
    <s v="CUST0542"/>
    <s v="Female"/>
    <s v="No"/>
    <s v="No"/>
    <s v="No"/>
    <x v="50"/>
    <x v="1"/>
    <x v="2"/>
    <x v="1"/>
    <n v="47.13"/>
    <n v="3139.46"/>
    <x v="0"/>
  </r>
  <r>
    <s v="CUST0543"/>
    <s v="Male"/>
    <s v="No"/>
    <s v="Yes"/>
    <s v="No"/>
    <x v="59"/>
    <x v="1"/>
    <x v="2"/>
    <x v="1"/>
    <n v="106.85"/>
    <n v="1529.28"/>
    <x v="1"/>
  </r>
  <r>
    <s v="CUST0544"/>
    <s v="Female"/>
    <s v="No"/>
    <s v="No"/>
    <s v="No"/>
    <x v="41"/>
    <x v="0"/>
    <x v="0"/>
    <x v="1"/>
    <n v="101.8"/>
    <n v="2098.0100000000002"/>
    <x v="0"/>
  </r>
  <r>
    <s v="CUST0545"/>
    <s v="Male"/>
    <s v="No"/>
    <s v="Yes"/>
    <s v="Yes"/>
    <x v="21"/>
    <x v="1"/>
    <x v="2"/>
    <x v="3"/>
    <n v="51.93"/>
    <n v="2320.7399999999998"/>
    <x v="0"/>
  </r>
  <r>
    <s v="CUST0546"/>
    <s v="Female"/>
    <s v="No"/>
    <s v="Yes"/>
    <s v="No"/>
    <x v="57"/>
    <x v="0"/>
    <x v="0"/>
    <x v="2"/>
    <n v="38.49"/>
    <n v="1706.82"/>
    <x v="1"/>
  </r>
  <r>
    <s v="CUST0547"/>
    <s v="Male"/>
    <s v="No"/>
    <s v="Yes"/>
    <s v="Yes"/>
    <x v="26"/>
    <x v="0"/>
    <x v="2"/>
    <x v="2"/>
    <n v="127.63"/>
    <n v="1756.28"/>
    <x v="0"/>
  </r>
  <r>
    <s v="CUST0548"/>
    <s v="Female"/>
    <s v="Yes"/>
    <s v="No"/>
    <s v="No"/>
    <x v="18"/>
    <x v="1"/>
    <x v="1"/>
    <x v="3"/>
    <n v="49.74"/>
    <n v="2409.86"/>
    <x v="1"/>
  </r>
  <r>
    <s v="CUST0549"/>
    <s v="Female"/>
    <s v="No"/>
    <s v="Yes"/>
    <s v="No"/>
    <x v="27"/>
    <x v="2"/>
    <x v="0"/>
    <x v="1"/>
    <n v="60.93"/>
    <n v="1241.49"/>
    <x v="0"/>
  </r>
  <r>
    <s v="CUST0550"/>
    <s v="Male"/>
    <s v="Yes"/>
    <s v="No"/>
    <s v="Yes"/>
    <x v="18"/>
    <x v="1"/>
    <x v="2"/>
    <x v="3"/>
    <n v="104.66"/>
    <n v="5180.55"/>
    <x v="1"/>
  </r>
  <r>
    <s v="CUST0551"/>
    <s v="Male"/>
    <s v="No"/>
    <s v="Yes"/>
    <s v="No"/>
    <x v="16"/>
    <x v="2"/>
    <x v="0"/>
    <x v="1"/>
    <n v="103.64"/>
    <n v="3453.59"/>
    <x v="0"/>
  </r>
  <r>
    <s v="CUST0552"/>
    <s v="Female"/>
    <s v="No"/>
    <s v="Yes"/>
    <s v="Yes"/>
    <x v="15"/>
    <x v="1"/>
    <x v="0"/>
    <x v="1"/>
    <n v="109.57"/>
    <n v="6371.08"/>
    <x v="1"/>
  </r>
  <r>
    <s v="CUST0553"/>
    <s v="Male"/>
    <s v="No"/>
    <s v="Yes"/>
    <s v="No"/>
    <x v="43"/>
    <x v="2"/>
    <x v="0"/>
    <x v="2"/>
    <n v="77.540000000000006"/>
    <n v="3252.71"/>
    <x v="0"/>
  </r>
  <r>
    <s v="CUST0554"/>
    <s v="Female"/>
    <s v="No"/>
    <s v="No"/>
    <s v="No"/>
    <x v="7"/>
    <x v="1"/>
    <x v="0"/>
    <x v="1"/>
    <n v="127.03"/>
    <n v="1485.14"/>
    <x v="1"/>
  </r>
  <r>
    <s v="CUST0555"/>
    <s v="Male"/>
    <s v="No"/>
    <s v="No"/>
    <s v="Yes"/>
    <x v="62"/>
    <x v="1"/>
    <x v="0"/>
    <x v="2"/>
    <n v="47.23"/>
    <n v="1767.15"/>
    <x v="0"/>
  </r>
  <r>
    <s v="CUST0556"/>
    <s v="Female"/>
    <s v="No"/>
    <s v="No"/>
    <s v="No"/>
    <x v="27"/>
    <x v="1"/>
    <x v="0"/>
    <x v="0"/>
    <n v="66.2"/>
    <n v="1222.28"/>
    <x v="1"/>
  </r>
  <r>
    <s v="CUST0557"/>
    <s v="Female"/>
    <s v="No"/>
    <s v="Yes"/>
    <s v="No"/>
    <x v="40"/>
    <x v="1"/>
    <x v="0"/>
    <x v="2"/>
    <n v="89.75"/>
    <n v="3186.35"/>
    <x v="0"/>
  </r>
  <r>
    <s v="CUST0558"/>
    <s v="Female"/>
    <s v="No"/>
    <s v="Yes"/>
    <s v="Yes"/>
    <x v="36"/>
    <x v="0"/>
    <x v="2"/>
    <x v="0"/>
    <n v="99.2"/>
    <n v="98.05"/>
    <x v="0"/>
  </r>
  <r>
    <s v="CUST0559"/>
    <s v="Female"/>
    <s v="No"/>
    <s v="No"/>
    <s v="Yes"/>
    <x v="13"/>
    <x v="1"/>
    <x v="0"/>
    <x v="1"/>
    <n v="96.53"/>
    <n v="2760.18"/>
    <x v="0"/>
  </r>
  <r>
    <s v="CUST0560"/>
    <s v="Female"/>
    <s v="No"/>
    <s v="No"/>
    <s v="No"/>
    <x v="3"/>
    <x v="0"/>
    <x v="0"/>
    <x v="2"/>
    <n v="77.930000000000007"/>
    <n v="4341.54"/>
    <x v="0"/>
  </r>
  <r>
    <s v="CUST0561"/>
    <s v="Female"/>
    <s v="No"/>
    <s v="No"/>
    <s v="No"/>
    <x v="24"/>
    <x v="1"/>
    <x v="0"/>
    <x v="1"/>
    <n v="68.12"/>
    <n v="707.78"/>
    <x v="0"/>
  </r>
  <r>
    <s v="CUST0562"/>
    <s v="Male"/>
    <s v="No"/>
    <s v="No"/>
    <s v="No"/>
    <x v="20"/>
    <x v="1"/>
    <x v="2"/>
    <x v="0"/>
    <n v="99.34"/>
    <n v="6552.69"/>
    <x v="0"/>
  </r>
  <r>
    <s v="CUST0563"/>
    <s v="Male"/>
    <s v="No"/>
    <s v="No"/>
    <s v="Yes"/>
    <x v="67"/>
    <x v="0"/>
    <x v="0"/>
    <x v="1"/>
    <n v="99.11"/>
    <n v="3511.66"/>
    <x v="0"/>
  </r>
  <r>
    <s v="CUST0564"/>
    <s v="Male"/>
    <s v="No"/>
    <s v="No"/>
    <s v="Yes"/>
    <x v="34"/>
    <x v="1"/>
    <x v="1"/>
    <x v="2"/>
    <n v="33.14"/>
    <n v="1642"/>
    <x v="0"/>
  </r>
  <r>
    <s v="CUST0565"/>
    <s v="Female"/>
    <s v="No"/>
    <s v="Yes"/>
    <s v="No"/>
    <x v="20"/>
    <x v="0"/>
    <x v="2"/>
    <x v="2"/>
    <n v="47.39"/>
    <n v="3130.43"/>
    <x v="0"/>
  </r>
  <r>
    <s v="CUST0566"/>
    <s v="Female"/>
    <s v="No"/>
    <s v="No"/>
    <s v="Yes"/>
    <x v="55"/>
    <x v="0"/>
    <x v="0"/>
    <x v="0"/>
    <n v="66.36"/>
    <n v="2455.8000000000002"/>
    <x v="0"/>
  </r>
  <r>
    <s v="CUST0567"/>
    <s v="Female"/>
    <s v="No"/>
    <s v="Yes"/>
    <s v="Yes"/>
    <x v="25"/>
    <x v="2"/>
    <x v="0"/>
    <x v="3"/>
    <n v="63.16"/>
    <n v="3304.46"/>
    <x v="0"/>
  </r>
  <r>
    <s v="CUST0568"/>
    <s v="Female"/>
    <s v="Yes"/>
    <s v="Yes"/>
    <s v="Yes"/>
    <x v="42"/>
    <x v="1"/>
    <x v="0"/>
    <x v="3"/>
    <n v="105.75"/>
    <n v="2584.5300000000002"/>
    <x v="0"/>
  </r>
  <r>
    <s v="CUST0569"/>
    <s v="Male"/>
    <s v="No"/>
    <s v="No"/>
    <s v="No"/>
    <x v="1"/>
    <x v="0"/>
    <x v="0"/>
    <x v="2"/>
    <n v="90.89"/>
    <n v="6238.07"/>
    <x v="0"/>
  </r>
  <r>
    <s v="CUST0570"/>
    <s v="Male"/>
    <s v="No"/>
    <s v="No"/>
    <s v="No"/>
    <x v="62"/>
    <x v="2"/>
    <x v="2"/>
    <x v="2"/>
    <n v="83.94"/>
    <n v="3263.92"/>
    <x v="0"/>
  </r>
  <r>
    <s v="CUST0571"/>
    <s v="Female"/>
    <s v="No"/>
    <s v="Yes"/>
    <s v="No"/>
    <x v="43"/>
    <x v="0"/>
    <x v="1"/>
    <x v="1"/>
    <n v="59.79"/>
    <n v="2569.21"/>
    <x v="1"/>
  </r>
  <r>
    <s v="CUST0572"/>
    <s v="Male"/>
    <s v="No"/>
    <s v="No"/>
    <s v="No"/>
    <x v="41"/>
    <x v="1"/>
    <x v="0"/>
    <x v="2"/>
    <n v="85.97"/>
    <n v="1874.33"/>
    <x v="1"/>
  </r>
  <r>
    <s v="CUST0573"/>
    <s v="Male"/>
    <s v="Yes"/>
    <s v="No"/>
    <s v="No"/>
    <x v="27"/>
    <x v="0"/>
    <x v="2"/>
    <x v="1"/>
    <n v="30.45"/>
    <n v="678.74"/>
    <x v="0"/>
  </r>
  <r>
    <s v="CUST0574"/>
    <s v="Female"/>
    <s v="Yes"/>
    <s v="Yes"/>
    <s v="No"/>
    <x v="31"/>
    <x v="0"/>
    <x v="2"/>
    <x v="1"/>
    <n v="89.85"/>
    <n v="652.13"/>
    <x v="0"/>
  </r>
  <r>
    <s v="CUST0575"/>
    <s v="Male"/>
    <s v="No"/>
    <s v="Yes"/>
    <s v="Yes"/>
    <x v="28"/>
    <x v="0"/>
    <x v="0"/>
    <x v="3"/>
    <n v="65.91"/>
    <n v="1885.86"/>
    <x v="0"/>
  </r>
  <r>
    <s v="CUST0576"/>
    <s v="Female"/>
    <s v="No"/>
    <s v="Yes"/>
    <s v="No"/>
    <x v="62"/>
    <x v="1"/>
    <x v="2"/>
    <x v="2"/>
    <n v="69.17"/>
    <n v="2703.08"/>
    <x v="0"/>
  </r>
  <r>
    <s v="CUST0577"/>
    <s v="Male"/>
    <s v="No"/>
    <s v="No"/>
    <s v="No"/>
    <x v="45"/>
    <x v="1"/>
    <x v="2"/>
    <x v="0"/>
    <n v="58.17"/>
    <n v="1743.53"/>
    <x v="0"/>
  </r>
  <r>
    <s v="CUST0578"/>
    <s v="Female"/>
    <s v="No"/>
    <s v="Yes"/>
    <s v="No"/>
    <x v="44"/>
    <x v="2"/>
    <x v="1"/>
    <x v="1"/>
    <n v="58.65"/>
    <n v="3092.36"/>
    <x v="0"/>
  </r>
  <r>
    <s v="CUST0579"/>
    <s v="Female"/>
    <s v="No"/>
    <s v="No"/>
    <s v="No"/>
    <x v="5"/>
    <x v="1"/>
    <x v="2"/>
    <x v="2"/>
    <n v="84.33"/>
    <n v="1152.27"/>
    <x v="0"/>
  </r>
  <r>
    <s v="CUST0580"/>
    <s v="Female"/>
    <s v="No"/>
    <s v="Yes"/>
    <s v="No"/>
    <x v="57"/>
    <x v="0"/>
    <x v="0"/>
    <x v="1"/>
    <n v="54.78"/>
    <n v="2398.8000000000002"/>
    <x v="0"/>
  </r>
  <r>
    <s v="CUST0581"/>
    <s v="Female"/>
    <s v="No"/>
    <s v="Yes"/>
    <s v="Yes"/>
    <x v="17"/>
    <x v="1"/>
    <x v="2"/>
    <x v="1"/>
    <n v="76.319999999999993"/>
    <n v="4672.6099999999997"/>
    <x v="0"/>
  </r>
  <r>
    <s v="CUST0582"/>
    <s v="Male"/>
    <s v="Yes"/>
    <s v="Yes"/>
    <s v="No"/>
    <x v="2"/>
    <x v="1"/>
    <x v="0"/>
    <x v="1"/>
    <n v="68.77"/>
    <n v="308.58999999999997"/>
    <x v="0"/>
  </r>
  <r>
    <s v="CUST0583"/>
    <s v="Female"/>
    <s v="No"/>
    <s v="No"/>
    <s v="No"/>
    <x v="53"/>
    <x v="1"/>
    <x v="0"/>
    <x v="0"/>
    <n v="113.04"/>
    <n v="4923.1000000000004"/>
    <x v="1"/>
  </r>
  <r>
    <s v="CUST0584"/>
    <s v="Female"/>
    <s v="No"/>
    <s v="No"/>
    <s v="No"/>
    <x v="15"/>
    <x v="1"/>
    <x v="2"/>
    <x v="2"/>
    <n v="42.13"/>
    <n v="2395.44"/>
    <x v="0"/>
  </r>
  <r>
    <s v="CUST0585"/>
    <s v="Female"/>
    <s v="No"/>
    <s v="Yes"/>
    <s v="No"/>
    <x v="3"/>
    <x v="2"/>
    <x v="0"/>
    <x v="1"/>
    <n v="54.94"/>
    <n v="3084.25"/>
    <x v="0"/>
  </r>
  <r>
    <s v="CUST0586"/>
    <s v="Male"/>
    <s v="No"/>
    <s v="Yes"/>
    <s v="No"/>
    <x v="48"/>
    <x v="2"/>
    <x v="2"/>
    <x v="2"/>
    <n v="61.01"/>
    <n v="2920.28"/>
    <x v="0"/>
  </r>
  <r>
    <s v="CUST0587"/>
    <s v="Female"/>
    <s v="No"/>
    <s v="Yes"/>
    <s v="Yes"/>
    <x v="10"/>
    <x v="0"/>
    <x v="1"/>
    <x v="1"/>
    <n v="31.86"/>
    <n v="834"/>
    <x v="0"/>
  </r>
  <r>
    <s v="CUST0588"/>
    <s v="Male"/>
    <s v="No"/>
    <s v="No"/>
    <s v="No"/>
    <x v="8"/>
    <x v="1"/>
    <x v="1"/>
    <x v="2"/>
    <n v="49.39"/>
    <n v="2604.37"/>
    <x v="0"/>
  </r>
  <r>
    <s v="CUST0589"/>
    <s v="Female"/>
    <s v="No"/>
    <s v="Yes"/>
    <s v="Yes"/>
    <x v="47"/>
    <x v="0"/>
    <x v="0"/>
    <x v="3"/>
    <n v="66.8"/>
    <n v="4847.26"/>
    <x v="0"/>
  </r>
  <r>
    <s v="CUST0590"/>
    <s v="Male"/>
    <s v="No"/>
    <s v="No"/>
    <s v="No"/>
    <x v="38"/>
    <x v="0"/>
    <x v="0"/>
    <x v="2"/>
    <n v="82.21"/>
    <n v="2766.05"/>
    <x v="0"/>
  </r>
  <r>
    <s v="CUST0591"/>
    <s v="Male"/>
    <s v="No"/>
    <s v="Yes"/>
    <s v="No"/>
    <x v="6"/>
    <x v="0"/>
    <x v="2"/>
    <x v="3"/>
    <n v="95.2"/>
    <n v="4716.6000000000004"/>
    <x v="0"/>
  </r>
  <r>
    <s v="CUST0592"/>
    <s v="Female"/>
    <s v="No"/>
    <s v="Yes"/>
    <s v="No"/>
    <x v="67"/>
    <x v="1"/>
    <x v="0"/>
    <x v="3"/>
    <n v="81.78"/>
    <n v="3067.01"/>
    <x v="0"/>
  </r>
  <r>
    <s v="CUST0593"/>
    <s v="Male"/>
    <s v="No"/>
    <s v="Yes"/>
    <s v="No"/>
    <x v="0"/>
    <x v="0"/>
    <x v="0"/>
    <x v="0"/>
    <n v="84.06"/>
    <n v="4508.2299999999996"/>
    <x v="0"/>
  </r>
  <r>
    <s v="CUST0594"/>
    <s v="Female"/>
    <s v="No"/>
    <s v="Yes"/>
    <s v="No"/>
    <x v="31"/>
    <x v="0"/>
    <x v="2"/>
    <x v="2"/>
    <n v="43.57"/>
    <n v="245.69"/>
    <x v="0"/>
  </r>
  <r>
    <s v="CUST0595"/>
    <s v="Female"/>
    <s v="No"/>
    <s v="Yes"/>
    <s v="Yes"/>
    <x v="27"/>
    <x v="2"/>
    <x v="0"/>
    <x v="3"/>
    <n v="76.650000000000006"/>
    <n v="1440.05"/>
    <x v="0"/>
  </r>
  <r>
    <s v="CUST0596"/>
    <s v="Female"/>
    <s v="No"/>
    <s v="Yes"/>
    <s v="No"/>
    <x v="8"/>
    <x v="1"/>
    <x v="2"/>
    <x v="0"/>
    <n v="59.46"/>
    <n v="3136.72"/>
    <x v="0"/>
  </r>
  <r>
    <s v="CUST0597"/>
    <s v="Male"/>
    <s v="No"/>
    <s v="No"/>
    <s v="Yes"/>
    <x v="7"/>
    <x v="0"/>
    <x v="0"/>
    <x v="1"/>
    <n v="97.04"/>
    <n v="1158.28"/>
    <x v="1"/>
  </r>
  <r>
    <s v="CUST0598"/>
    <s v="Male"/>
    <s v="No"/>
    <s v="Yes"/>
    <s v="No"/>
    <x v="34"/>
    <x v="0"/>
    <x v="2"/>
    <x v="3"/>
    <n v="50.89"/>
    <n v="2591.2600000000002"/>
    <x v="0"/>
  </r>
  <r>
    <s v="CUST0599"/>
    <s v="Female"/>
    <s v="No"/>
    <s v="No"/>
    <s v="Yes"/>
    <x v="11"/>
    <x v="1"/>
    <x v="0"/>
    <x v="2"/>
    <n v="58.48"/>
    <n v="928.34"/>
    <x v="0"/>
  </r>
  <r>
    <s v="CUST0600"/>
    <s v="Female"/>
    <s v="No"/>
    <s v="Yes"/>
    <s v="Yes"/>
    <x v="70"/>
    <x v="1"/>
    <x v="2"/>
    <x v="1"/>
    <n v="77.94"/>
    <n v="4908.24"/>
    <x v="1"/>
  </r>
  <r>
    <s v="CUST0601"/>
    <s v="Male"/>
    <s v="Yes"/>
    <s v="Yes"/>
    <s v="No"/>
    <x v="61"/>
    <x v="1"/>
    <x v="2"/>
    <x v="0"/>
    <n v="119.5"/>
    <n v="4928.51"/>
    <x v="0"/>
  </r>
  <r>
    <s v="CUST0602"/>
    <s v="Female"/>
    <s v="No"/>
    <s v="No"/>
    <s v="Yes"/>
    <x v="28"/>
    <x v="1"/>
    <x v="0"/>
    <x v="3"/>
    <n v="75.599999999999994"/>
    <n v="2074.31"/>
    <x v="0"/>
  </r>
  <r>
    <s v="CUST0603"/>
    <s v="Female"/>
    <s v="No"/>
    <s v="Yes"/>
    <s v="No"/>
    <x v="19"/>
    <x v="1"/>
    <x v="1"/>
    <x v="0"/>
    <n v="59.21"/>
    <n v="971.04"/>
    <x v="0"/>
  </r>
  <r>
    <s v="CUST0604"/>
    <s v="Female"/>
    <s v="No"/>
    <s v="No"/>
    <s v="No"/>
    <x v="69"/>
    <x v="0"/>
    <x v="0"/>
    <x v="2"/>
    <n v="103.7"/>
    <n v="1029.3"/>
    <x v="0"/>
  </r>
  <r>
    <s v="CUST0605"/>
    <s v="Male"/>
    <s v="No"/>
    <s v="No"/>
    <s v="Yes"/>
    <x v="18"/>
    <x v="0"/>
    <x v="2"/>
    <x v="2"/>
    <n v="82.75"/>
    <n v="4114.38"/>
    <x v="0"/>
  </r>
  <r>
    <s v="CUST0606"/>
    <s v="Male"/>
    <s v="No"/>
    <s v="Yes"/>
    <s v="No"/>
    <x v="35"/>
    <x v="0"/>
    <x v="2"/>
    <x v="2"/>
    <n v="82.91"/>
    <n v="5784.27"/>
    <x v="0"/>
  </r>
  <r>
    <s v="CUST0607"/>
    <s v="Male"/>
    <s v="No"/>
    <s v="No"/>
    <s v="Yes"/>
    <x v="32"/>
    <x v="2"/>
    <x v="1"/>
    <x v="0"/>
    <n v="52.62"/>
    <n v="3032.41"/>
    <x v="0"/>
  </r>
  <r>
    <s v="CUST0608"/>
    <s v="Female"/>
    <s v="No"/>
    <s v="No"/>
    <s v="Yes"/>
    <x v="46"/>
    <x v="1"/>
    <x v="0"/>
    <x v="2"/>
    <n v="78.11"/>
    <n v="2428.12"/>
    <x v="0"/>
  </r>
  <r>
    <s v="CUST0609"/>
    <s v="Female"/>
    <s v="No"/>
    <s v="Yes"/>
    <s v="No"/>
    <x v="27"/>
    <x v="1"/>
    <x v="2"/>
    <x v="2"/>
    <n v="51.12"/>
    <n v="972.75"/>
    <x v="0"/>
  </r>
  <r>
    <s v="CUST0610"/>
    <s v="Female"/>
    <s v="Yes"/>
    <s v="No"/>
    <s v="Yes"/>
    <x v="18"/>
    <x v="0"/>
    <x v="1"/>
    <x v="2"/>
    <n v="67.16"/>
    <n v="3258.56"/>
    <x v="0"/>
  </r>
  <r>
    <s v="CUST0611"/>
    <s v="Male"/>
    <s v="No"/>
    <s v="Yes"/>
    <s v="No"/>
    <x v="37"/>
    <x v="1"/>
    <x v="0"/>
    <x v="0"/>
    <n v="91.59"/>
    <n v="722.3"/>
    <x v="1"/>
  </r>
  <r>
    <s v="CUST0612"/>
    <s v="Female"/>
    <s v="No"/>
    <s v="Yes"/>
    <s v="Yes"/>
    <x v="58"/>
    <x v="1"/>
    <x v="1"/>
    <x v="0"/>
    <n v="72.930000000000007"/>
    <n v="2313.41"/>
    <x v="0"/>
  </r>
  <r>
    <s v="CUST0613"/>
    <s v="Female"/>
    <s v="No"/>
    <s v="Yes"/>
    <s v="Yes"/>
    <x v="64"/>
    <x v="1"/>
    <x v="1"/>
    <x v="3"/>
    <n v="42.8"/>
    <n v="2330.4499999999998"/>
    <x v="0"/>
  </r>
  <r>
    <s v="CUST0614"/>
    <s v="Female"/>
    <s v="No"/>
    <s v="Yes"/>
    <s v="No"/>
    <x v="59"/>
    <x v="1"/>
    <x v="1"/>
    <x v="1"/>
    <n v="75.75"/>
    <n v="1139.7"/>
    <x v="0"/>
  </r>
  <r>
    <s v="CUST0615"/>
    <s v="Female"/>
    <s v="No"/>
    <s v="No"/>
    <s v="No"/>
    <x v="36"/>
    <x v="2"/>
    <x v="2"/>
    <x v="1"/>
    <n v="98.33"/>
    <n v="280.95999999999998"/>
    <x v="0"/>
  </r>
  <r>
    <s v="CUST0616"/>
    <s v="Male"/>
    <s v="No"/>
    <s v="Yes"/>
    <s v="Yes"/>
    <x v="67"/>
    <x v="1"/>
    <x v="2"/>
    <x v="0"/>
    <n v="39.65"/>
    <n v="1484.4"/>
    <x v="1"/>
  </r>
  <r>
    <s v="CUST0617"/>
    <s v="Male"/>
    <s v="Yes"/>
    <s v="Yes"/>
    <s v="No"/>
    <x v="62"/>
    <x v="1"/>
    <x v="0"/>
    <x v="3"/>
    <n v="72.58"/>
    <n v="2882.34"/>
    <x v="0"/>
  </r>
  <r>
    <s v="CUST0618"/>
    <s v="Female"/>
    <s v="No"/>
    <s v="No"/>
    <s v="Yes"/>
    <x v="1"/>
    <x v="1"/>
    <x v="0"/>
    <x v="1"/>
    <n v="109.38"/>
    <n v="7622.03"/>
    <x v="0"/>
  </r>
  <r>
    <s v="CUST0619"/>
    <s v="Male"/>
    <s v="No"/>
    <s v="Yes"/>
    <s v="No"/>
    <x v="62"/>
    <x v="0"/>
    <x v="0"/>
    <x v="1"/>
    <n v="63.76"/>
    <n v="2476.4"/>
    <x v="0"/>
  </r>
  <r>
    <s v="CUST0620"/>
    <s v="Male"/>
    <s v="Yes"/>
    <s v="Yes"/>
    <s v="No"/>
    <x v="3"/>
    <x v="1"/>
    <x v="0"/>
    <x v="1"/>
    <n v="93.22"/>
    <n v="5167.79"/>
    <x v="0"/>
  </r>
  <r>
    <s v="CUST0621"/>
    <s v="Female"/>
    <s v="No"/>
    <s v="No"/>
    <s v="No"/>
    <x v="63"/>
    <x v="0"/>
    <x v="0"/>
    <x v="2"/>
    <n v="80.209999999999994"/>
    <n v="1807.13"/>
    <x v="1"/>
  </r>
  <r>
    <s v="CUST0622"/>
    <s v="Female"/>
    <s v="No"/>
    <s v="No"/>
    <s v="No"/>
    <x v="69"/>
    <x v="1"/>
    <x v="0"/>
    <x v="1"/>
    <n v="88.27"/>
    <n v="984.44"/>
    <x v="1"/>
  </r>
  <r>
    <s v="CUST0623"/>
    <s v="Male"/>
    <s v="No"/>
    <s v="No"/>
    <s v="No"/>
    <x v="70"/>
    <x v="1"/>
    <x v="2"/>
    <x v="0"/>
    <n v="70.98"/>
    <n v="4389.1499999999996"/>
    <x v="0"/>
  </r>
  <r>
    <s v="CUST0624"/>
    <s v="Female"/>
    <s v="No"/>
    <s v="No"/>
    <s v="No"/>
    <x v="31"/>
    <x v="1"/>
    <x v="2"/>
    <x v="0"/>
    <n v="88.65"/>
    <n v="669.13"/>
    <x v="0"/>
  </r>
  <r>
    <s v="CUST0625"/>
    <s v="Male"/>
    <s v="No"/>
    <s v="No"/>
    <s v="No"/>
    <x v="3"/>
    <x v="1"/>
    <x v="0"/>
    <x v="3"/>
    <n v="54.46"/>
    <n v="2910.1"/>
    <x v="0"/>
  </r>
  <r>
    <s v="CUST0626"/>
    <s v="Female"/>
    <s v="No"/>
    <s v="No"/>
    <s v="No"/>
    <x v="66"/>
    <x v="1"/>
    <x v="0"/>
    <x v="0"/>
    <n v="57.17"/>
    <n v="3356.09"/>
    <x v="0"/>
  </r>
  <r>
    <s v="CUST0627"/>
    <s v="Male"/>
    <s v="Yes"/>
    <s v="No"/>
    <s v="Yes"/>
    <x v="37"/>
    <x v="1"/>
    <x v="2"/>
    <x v="1"/>
    <n v="106.61"/>
    <n v="954.53"/>
    <x v="1"/>
  </r>
  <r>
    <s v="CUST0628"/>
    <s v="Female"/>
    <s v="No"/>
    <s v="Yes"/>
    <s v="No"/>
    <x v="22"/>
    <x v="2"/>
    <x v="0"/>
    <x v="0"/>
    <n v="132.51"/>
    <n v="5104.3900000000003"/>
    <x v="1"/>
  </r>
  <r>
    <s v="CUST0629"/>
    <s v="Male"/>
    <s v="No"/>
    <s v="No"/>
    <s v="No"/>
    <x v="13"/>
    <x v="1"/>
    <x v="0"/>
    <x v="3"/>
    <n v="79.86"/>
    <n v="2215.8200000000002"/>
    <x v="0"/>
  </r>
  <r>
    <s v="CUST0630"/>
    <s v="Male"/>
    <s v="No"/>
    <s v="No"/>
    <s v="No"/>
    <x v="34"/>
    <x v="0"/>
    <x v="0"/>
    <x v="2"/>
    <n v="122.88"/>
    <n v="5907.87"/>
    <x v="0"/>
  </r>
  <r>
    <s v="CUST0631"/>
    <s v="Male"/>
    <s v="No"/>
    <s v="No"/>
    <s v="No"/>
    <x v="55"/>
    <x v="1"/>
    <x v="2"/>
    <x v="3"/>
    <n v="50.71"/>
    <n v="1602.69"/>
    <x v="0"/>
  </r>
  <r>
    <s v="CUST0632"/>
    <s v="Female"/>
    <s v="No"/>
    <s v="Yes"/>
    <s v="No"/>
    <x v="24"/>
    <x v="1"/>
    <x v="0"/>
    <x v="3"/>
    <n v="66.709999999999994"/>
    <n v="836.11"/>
    <x v="1"/>
  </r>
  <r>
    <s v="CUST0633"/>
    <s v="Male"/>
    <s v="Yes"/>
    <s v="Yes"/>
    <s v="Yes"/>
    <x v="55"/>
    <x v="1"/>
    <x v="2"/>
    <x v="1"/>
    <n v="106.44"/>
    <n v="3703.99"/>
    <x v="1"/>
  </r>
  <r>
    <s v="CUST0634"/>
    <s v="Male"/>
    <s v="No"/>
    <s v="No"/>
    <s v="Yes"/>
    <x v="42"/>
    <x v="2"/>
    <x v="1"/>
    <x v="2"/>
    <n v="75.099999999999994"/>
    <n v="1988.84"/>
    <x v="0"/>
  </r>
  <r>
    <s v="CUST0635"/>
    <s v="Female"/>
    <s v="No"/>
    <s v="No"/>
    <s v="No"/>
    <x v="60"/>
    <x v="1"/>
    <x v="2"/>
    <x v="1"/>
    <n v="110.16"/>
    <n v="422.76"/>
    <x v="1"/>
  </r>
  <r>
    <s v="CUST0636"/>
    <s v="Female"/>
    <s v="Yes"/>
    <s v="No"/>
    <s v="No"/>
    <x v="70"/>
    <x v="1"/>
    <x v="0"/>
    <x v="0"/>
    <n v="91.71"/>
    <n v="5702.69"/>
    <x v="0"/>
  </r>
  <r>
    <s v="CUST0637"/>
    <s v="Male"/>
    <s v="No"/>
    <s v="Yes"/>
    <s v="No"/>
    <x v="40"/>
    <x v="1"/>
    <x v="2"/>
    <x v="1"/>
    <n v="44.69"/>
    <n v="1700.1"/>
    <x v="0"/>
  </r>
  <r>
    <s v="CUST0638"/>
    <s v="Male"/>
    <s v="No"/>
    <s v="Yes"/>
    <s v="No"/>
    <x v="41"/>
    <x v="1"/>
    <x v="0"/>
    <x v="1"/>
    <n v="85.59"/>
    <n v="1845.54"/>
    <x v="1"/>
  </r>
  <r>
    <s v="CUST0639"/>
    <s v="Female"/>
    <s v="No"/>
    <s v="No"/>
    <s v="No"/>
    <x v="39"/>
    <x v="1"/>
    <x v="0"/>
    <x v="3"/>
    <n v="110.05"/>
    <n v="152.38"/>
    <x v="1"/>
  </r>
  <r>
    <s v="CUST0640"/>
    <s v="Female"/>
    <s v="No"/>
    <s v="Yes"/>
    <s v="No"/>
    <x v="71"/>
    <x v="0"/>
    <x v="2"/>
    <x v="1"/>
    <n v="66.680000000000007"/>
    <n v="2032.37"/>
    <x v="0"/>
  </r>
  <r>
    <s v="CUST0641"/>
    <s v="Female"/>
    <s v="No"/>
    <s v="No"/>
    <s v="Yes"/>
    <x v="69"/>
    <x v="1"/>
    <x v="0"/>
    <x v="3"/>
    <n v="72.84"/>
    <n v="778.81"/>
    <x v="1"/>
  </r>
  <r>
    <s v="CUST0642"/>
    <s v="Female"/>
    <s v="No"/>
    <s v="Yes"/>
    <s v="Yes"/>
    <x v="57"/>
    <x v="1"/>
    <x v="2"/>
    <x v="1"/>
    <n v="82.1"/>
    <n v="3814.62"/>
    <x v="1"/>
  </r>
  <r>
    <s v="CUST0643"/>
    <s v="Female"/>
    <s v="No"/>
    <s v="Yes"/>
    <s v="No"/>
    <x v="17"/>
    <x v="0"/>
    <x v="2"/>
    <x v="1"/>
    <n v="56.01"/>
    <n v="3372.5"/>
    <x v="0"/>
  </r>
  <r>
    <s v="CUST0644"/>
    <s v="Male"/>
    <s v="No"/>
    <s v="No"/>
    <s v="No"/>
    <x v="14"/>
    <x v="1"/>
    <x v="0"/>
    <x v="3"/>
    <n v="87.39"/>
    <n v="5870.06"/>
    <x v="1"/>
  </r>
  <r>
    <s v="CUST0645"/>
    <s v="Female"/>
    <s v="No"/>
    <s v="No"/>
    <s v="Yes"/>
    <x v="70"/>
    <x v="1"/>
    <x v="2"/>
    <x v="2"/>
    <n v="71.59"/>
    <n v="4572.79"/>
    <x v="0"/>
  </r>
  <r>
    <s v="CUST0646"/>
    <s v="Male"/>
    <s v="No"/>
    <s v="No"/>
    <s v="No"/>
    <x v="37"/>
    <x v="1"/>
    <x v="1"/>
    <x v="2"/>
    <n v="42.74"/>
    <n v="233.99"/>
    <x v="0"/>
  </r>
  <r>
    <s v="CUST0647"/>
    <s v="Male"/>
    <s v="No"/>
    <s v="No"/>
    <s v="No"/>
    <x v="62"/>
    <x v="0"/>
    <x v="0"/>
    <x v="1"/>
    <n v="104.52"/>
    <n v="4128.6000000000004"/>
    <x v="0"/>
  </r>
  <r>
    <s v="CUST0648"/>
    <s v="Male"/>
    <s v="No"/>
    <s v="Yes"/>
    <s v="No"/>
    <x v="29"/>
    <x v="1"/>
    <x v="0"/>
    <x v="0"/>
    <n v="96.15"/>
    <n v="2249.61"/>
    <x v="0"/>
  </r>
  <r>
    <s v="CUST0649"/>
    <s v="Female"/>
    <s v="No"/>
    <s v="Yes"/>
    <s v="No"/>
    <x v="72"/>
    <x v="1"/>
    <x v="2"/>
    <x v="2"/>
    <n v="61.16"/>
    <n v="2442.2399999999998"/>
    <x v="0"/>
  </r>
  <r>
    <s v="CUST0650"/>
    <s v="Male"/>
    <s v="No"/>
    <s v="Yes"/>
    <s v="No"/>
    <x v="66"/>
    <x v="1"/>
    <x v="0"/>
    <x v="2"/>
    <n v="79.63"/>
    <n v="4647.26"/>
    <x v="0"/>
  </r>
  <r>
    <s v="CUST0651"/>
    <s v="Male"/>
    <s v="No"/>
    <s v="No"/>
    <s v="Yes"/>
    <x v="17"/>
    <x v="0"/>
    <x v="0"/>
    <x v="0"/>
    <n v="73.22"/>
    <n v="4592.5"/>
    <x v="1"/>
  </r>
  <r>
    <s v="CUST0652"/>
    <s v="Female"/>
    <s v="No"/>
    <s v="Yes"/>
    <s v="No"/>
    <x v="11"/>
    <x v="1"/>
    <x v="2"/>
    <x v="3"/>
    <n v="54.03"/>
    <n v="747.91"/>
    <x v="0"/>
  </r>
  <r>
    <s v="CUST0653"/>
    <s v="Male"/>
    <s v="No"/>
    <s v="No"/>
    <s v="No"/>
    <x v="50"/>
    <x v="0"/>
    <x v="0"/>
    <x v="2"/>
    <n v="37.54"/>
    <n v="2419.5700000000002"/>
    <x v="0"/>
  </r>
  <r>
    <s v="CUST0654"/>
    <s v="Male"/>
    <s v="No"/>
    <s v="Yes"/>
    <s v="Yes"/>
    <x v="0"/>
    <x v="2"/>
    <x v="2"/>
    <x v="3"/>
    <n v="57.9"/>
    <n v="3162.01"/>
    <x v="0"/>
  </r>
  <r>
    <s v="CUST0655"/>
    <s v="Female"/>
    <s v="No"/>
    <s v="No"/>
    <s v="No"/>
    <x v="44"/>
    <x v="0"/>
    <x v="0"/>
    <x v="2"/>
    <n v="64.400000000000006"/>
    <n v="3420.88"/>
    <x v="0"/>
  </r>
  <r>
    <s v="CUST0656"/>
    <s v="Male"/>
    <s v="No"/>
    <s v="No"/>
    <s v="No"/>
    <x v="8"/>
    <x v="1"/>
    <x v="2"/>
    <x v="2"/>
    <n v="72.87"/>
    <n v="3942.55"/>
    <x v="0"/>
  </r>
  <r>
    <s v="CUST0657"/>
    <s v="Male"/>
    <s v="Yes"/>
    <s v="Yes"/>
    <s v="No"/>
    <x v="3"/>
    <x v="1"/>
    <x v="1"/>
    <x v="1"/>
    <n v="66.02"/>
    <n v="3640.98"/>
    <x v="0"/>
  </r>
  <r>
    <s v="CUST0658"/>
    <s v="Male"/>
    <s v="No"/>
    <s v="No"/>
    <s v="No"/>
    <x v="54"/>
    <x v="1"/>
    <x v="0"/>
    <x v="0"/>
    <n v="59.95"/>
    <n v="520.96"/>
    <x v="1"/>
  </r>
  <r>
    <s v="CUST0659"/>
    <s v="Female"/>
    <s v="No"/>
    <s v="No"/>
    <s v="Yes"/>
    <x v="41"/>
    <x v="1"/>
    <x v="2"/>
    <x v="3"/>
    <n v="79.34"/>
    <n v="1657.14"/>
    <x v="0"/>
  </r>
  <r>
    <s v="CUST0660"/>
    <s v="Female"/>
    <s v="Yes"/>
    <s v="Yes"/>
    <s v="No"/>
    <x v="24"/>
    <x v="1"/>
    <x v="2"/>
    <x v="1"/>
    <n v="46.09"/>
    <n v="431.87"/>
    <x v="0"/>
  </r>
  <r>
    <s v="CUST0661"/>
    <s v="Female"/>
    <s v="No"/>
    <s v="No"/>
    <s v="No"/>
    <x v="48"/>
    <x v="0"/>
    <x v="0"/>
    <x v="1"/>
    <n v="76.87"/>
    <n v="3518.1"/>
    <x v="0"/>
  </r>
  <r>
    <s v="CUST0662"/>
    <s v="Male"/>
    <s v="Yes"/>
    <s v="No"/>
    <s v="No"/>
    <x v="68"/>
    <x v="1"/>
    <x v="1"/>
    <x v="1"/>
    <n v="39.94"/>
    <n v="773.25"/>
    <x v="1"/>
  </r>
  <r>
    <s v="CUST0663"/>
    <s v="Male"/>
    <s v="No"/>
    <s v="No"/>
    <s v="Yes"/>
    <x v="62"/>
    <x v="1"/>
    <x v="2"/>
    <x v="1"/>
    <n v="88.65"/>
    <n v="3469.58"/>
    <x v="0"/>
  </r>
  <r>
    <s v="CUST0664"/>
    <s v="Female"/>
    <s v="No"/>
    <s v="Yes"/>
    <s v="No"/>
    <x v="11"/>
    <x v="0"/>
    <x v="2"/>
    <x v="3"/>
    <n v="72.92"/>
    <n v="1105.0999999999999"/>
    <x v="0"/>
  </r>
  <r>
    <s v="CUST0665"/>
    <s v="Male"/>
    <s v="No"/>
    <s v="Yes"/>
    <s v="No"/>
    <x v="59"/>
    <x v="0"/>
    <x v="0"/>
    <x v="3"/>
    <n v="77.25"/>
    <n v="1079.74"/>
    <x v="0"/>
  </r>
  <r>
    <s v="CUST0666"/>
    <s v="Male"/>
    <s v="No"/>
    <s v="No"/>
    <s v="Yes"/>
    <x v="59"/>
    <x v="1"/>
    <x v="0"/>
    <x v="0"/>
    <n v="64.37"/>
    <n v="954.11"/>
    <x v="0"/>
  </r>
  <r>
    <s v="CUST0667"/>
    <s v="Female"/>
    <s v="No"/>
    <s v="Yes"/>
    <s v="Yes"/>
    <x v="30"/>
    <x v="2"/>
    <x v="0"/>
    <x v="1"/>
    <n v="71.78"/>
    <n v="4486.72"/>
    <x v="0"/>
  </r>
  <r>
    <s v="CUST0668"/>
    <s v="Female"/>
    <s v="No"/>
    <s v="No"/>
    <s v="No"/>
    <x v="22"/>
    <x v="1"/>
    <x v="0"/>
    <x v="2"/>
    <n v="125.73"/>
    <n v="4716.16"/>
    <x v="1"/>
  </r>
  <r>
    <s v="CUST0669"/>
    <s v="Male"/>
    <s v="Yes"/>
    <s v="No"/>
    <s v="No"/>
    <x v="24"/>
    <x v="0"/>
    <x v="2"/>
    <x v="2"/>
    <n v="57.47"/>
    <n v="563.62"/>
    <x v="0"/>
  </r>
  <r>
    <s v="CUST0670"/>
    <s v="Male"/>
    <s v="No"/>
    <s v="No"/>
    <s v="No"/>
    <x v="58"/>
    <x v="0"/>
    <x v="1"/>
    <x v="3"/>
    <n v="66.989999999999995"/>
    <n v="2044.13"/>
    <x v="0"/>
  </r>
  <r>
    <s v="CUST0671"/>
    <s v="Male"/>
    <s v="No"/>
    <s v="No"/>
    <s v="No"/>
    <x v="54"/>
    <x v="0"/>
    <x v="0"/>
    <x v="0"/>
    <n v="77.180000000000007"/>
    <n v="706.16"/>
    <x v="1"/>
  </r>
  <r>
    <s v="CUST0672"/>
    <s v="Female"/>
    <s v="No"/>
    <s v="No"/>
    <s v="No"/>
    <x v="62"/>
    <x v="0"/>
    <x v="2"/>
    <x v="1"/>
    <n v="81.27"/>
    <n v="3237.88"/>
    <x v="0"/>
  </r>
  <r>
    <s v="CUST0673"/>
    <s v="Female"/>
    <s v="No"/>
    <s v="Yes"/>
    <s v="No"/>
    <x v="27"/>
    <x v="1"/>
    <x v="0"/>
    <x v="0"/>
    <n v="100.92"/>
    <n v="1950.31"/>
    <x v="1"/>
  </r>
  <r>
    <s v="CUST0674"/>
    <s v="Female"/>
    <s v="No"/>
    <s v="No"/>
    <s v="Yes"/>
    <x v="47"/>
    <x v="1"/>
    <x v="0"/>
    <x v="3"/>
    <n v="71.150000000000006"/>
    <n v="5109.13"/>
    <x v="0"/>
  </r>
  <r>
    <s v="CUST0675"/>
    <s v="Female"/>
    <s v="No"/>
    <s v="Yes"/>
    <s v="No"/>
    <x v="30"/>
    <x v="0"/>
    <x v="2"/>
    <x v="2"/>
    <n v="87.74"/>
    <n v="5398.54"/>
    <x v="0"/>
  </r>
  <r>
    <s v="CUST0676"/>
    <s v="Male"/>
    <s v="No"/>
    <s v="Yes"/>
    <s v="Yes"/>
    <x v="72"/>
    <x v="1"/>
    <x v="0"/>
    <x v="2"/>
    <n v="140"/>
    <n v="6007.81"/>
    <x v="0"/>
  </r>
  <r>
    <s v="CUST0677"/>
    <s v="Female"/>
    <s v="No"/>
    <s v="No"/>
    <s v="No"/>
    <x v="40"/>
    <x v="2"/>
    <x v="2"/>
    <x v="1"/>
    <n v="84.19"/>
    <n v="3177.57"/>
    <x v="0"/>
  </r>
  <r>
    <s v="CUST0678"/>
    <s v="Female"/>
    <s v="Yes"/>
    <s v="No"/>
    <s v="Yes"/>
    <x v="66"/>
    <x v="1"/>
    <x v="0"/>
    <x v="2"/>
    <n v="120.34"/>
    <n v="7180.88"/>
    <x v="0"/>
  </r>
  <r>
    <s v="CUST0679"/>
    <s v="Female"/>
    <s v="No"/>
    <s v="Yes"/>
    <s v="Yes"/>
    <x v="35"/>
    <x v="1"/>
    <x v="1"/>
    <x v="2"/>
    <n v="67.03"/>
    <n v="4671.16"/>
    <x v="0"/>
  </r>
  <r>
    <s v="CUST0680"/>
    <s v="Female"/>
    <s v="No"/>
    <s v="Yes"/>
    <s v="No"/>
    <x v="48"/>
    <x v="1"/>
    <x v="2"/>
    <x v="1"/>
    <n v="46.7"/>
    <n v="2397.8000000000002"/>
    <x v="1"/>
  </r>
  <r>
    <s v="CUST0681"/>
    <s v="Female"/>
    <s v="No"/>
    <s v="Yes"/>
    <s v="Yes"/>
    <x v="68"/>
    <x v="1"/>
    <x v="0"/>
    <x v="0"/>
    <n v="86.89"/>
    <n v="1484.52"/>
    <x v="0"/>
  </r>
  <r>
    <s v="CUST0682"/>
    <s v="Male"/>
    <s v="No"/>
    <s v="No"/>
    <s v="No"/>
    <x v="5"/>
    <x v="0"/>
    <x v="0"/>
    <x v="1"/>
    <n v="71.739999999999995"/>
    <n v="1048.3399999999999"/>
    <x v="0"/>
  </r>
  <r>
    <s v="CUST0683"/>
    <s v="Male"/>
    <s v="No"/>
    <s v="Yes"/>
    <s v="Yes"/>
    <x v="44"/>
    <x v="0"/>
    <x v="1"/>
    <x v="1"/>
    <n v="40.1"/>
    <n v="2283.4499999999998"/>
    <x v="0"/>
  </r>
  <r>
    <s v="CUST0684"/>
    <s v="Female"/>
    <s v="No"/>
    <s v="No"/>
    <s v="No"/>
    <x v="22"/>
    <x v="0"/>
    <x v="0"/>
    <x v="1"/>
    <n v="78.19"/>
    <n v="2808.16"/>
    <x v="0"/>
  </r>
  <r>
    <s v="CUST0685"/>
    <s v="Male"/>
    <s v="Yes"/>
    <s v="No"/>
    <s v="No"/>
    <x v="23"/>
    <x v="2"/>
    <x v="0"/>
    <x v="1"/>
    <n v="76.13"/>
    <n v="5139.1099999999997"/>
    <x v="0"/>
  </r>
  <r>
    <s v="CUST0686"/>
    <s v="Female"/>
    <s v="No"/>
    <s v="No"/>
    <s v="Yes"/>
    <x v="15"/>
    <x v="2"/>
    <x v="0"/>
    <x v="0"/>
    <n v="53.5"/>
    <n v="3097.18"/>
    <x v="0"/>
  </r>
  <r>
    <s v="CUST0687"/>
    <s v="Female"/>
    <s v="No"/>
    <s v="Yes"/>
    <s v="Yes"/>
    <x v="17"/>
    <x v="2"/>
    <x v="1"/>
    <x v="1"/>
    <n v="122.71"/>
    <n v="7601.16"/>
    <x v="0"/>
  </r>
  <r>
    <s v="CUST0688"/>
    <s v="Male"/>
    <s v="Yes"/>
    <s v="No"/>
    <s v="No"/>
    <x v="24"/>
    <x v="1"/>
    <x v="1"/>
    <x v="1"/>
    <n v="75.2"/>
    <n v="950.79"/>
    <x v="1"/>
  </r>
  <r>
    <s v="CUST0689"/>
    <s v="Male"/>
    <s v="No"/>
    <s v="No"/>
    <s v="No"/>
    <x v="12"/>
    <x v="0"/>
    <x v="2"/>
    <x v="3"/>
    <n v="76.11"/>
    <n v="391.68"/>
    <x v="0"/>
  </r>
  <r>
    <s v="CUST0690"/>
    <s v="Female"/>
    <s v="No"/>
    <s v="No"/>
    <s v="No"/>
    <x v="66"/>
    <x v="1"/>
    <x v="0"/>
    <x v="2"/>
    <n v="82.25"/>
    <n v="4905.76"/>
    <x v="0"/>
  </r>
  <r>
    <s v="CUST0691"/>
    <s v="Female"/>
    <s v="Yes"/>
    <s v="No"/>
    <s v="No"/>
    <x v="26"/>
    <x v="1"/>
    <x v="0"/>
    <x v="2"/>
    <n v="110.06"/>
    <n v="1346.33"/>
    <x v="1"/>
  </r>
  <r>
    <s v="CUST0692"/>
    <s v="Female"/>
    <s v="No"/>
    <s v="No"/>
    <s v="No"/>
    <x v="25"/>
    <x v="0"/>
    <x v="0"/>
    <x v="0"/>
    <n v="131.88999999999999"/>
    <n v="7067.52"/>
    <x v="0"/>
  </r>
  <r>
    <s v="CUST0693"/>
    <s v="Male"/>
    <s v="No"/>
    <s v="Yes"/>
    <s v="Yes"/>
    <x v="60"/>
    <x v="1"/>
    <x v="0"/>
    <x v="2"/>
    <n v="97.13"/>
    <n v="183.82"/>
    <x v="0"/>
  </r>
  <r>
    <s v="CUST0694"/>
    <s v="Female"/>
    <s v="No"/>
    <s v="No"/>
    <s v="No"/>
    <x v="22"/>
    <x v="1"/>
    <x v="0"/>
    <x v="1"/>
    <n v="83.03"/>
    <n v="3183.82"/>
    <x v="0"/>
  </r>
  <r>
    <s v="CUST0695"/>
    <s v="Female"/>
    <s v="Yes"/>
    <s v="No"/>
    <s v="No"/>
    <x v="1"/>
    <x v="1"/>
    <x v="1"/>
    <x v="3"/>
    <n v="91.82"/>
    <n v="6522.07"/>
    <x v="0"/>
  </r>
  <r>
    <s v="CUST0696"/>
    <s v="Female"/>
    <s v="No"/>
    <s v="Yes"/>
    <s v="No"/>
    <x v="52"/>
    <x v="1"/>
    <x v="2"/>
    <x v="1"/>
    <n v="73.56"/>
    <n v="1624.4"/>
    <x v="0"/>
  </r>
  <r>
    <s v="CUST0697"/>
    <s v="Male"/>
    <s v="No"/>
    <s v="No"/>
    <s v="No"/>
    <x v="58"/>
    <x v="2"/>
    <x v="2"/>
    <x v="2"/>
    <n v="80.88"/>
    <n v="2512.8000000000002"/>
    <x v="0"/>
  </r>
  <r>
    <s v="CUST0698"/>
    <s v="Female"/>
    <s v="No"/>
    <s v="Yes"/>
    <s v="No"/>
    <x v="15"/>
    <x v="1"/>
    <x v="0"/>
    <x v="1"/>
    <n v="105.03"/>
    <n v="6114.3"/>
    <x v="1"/>
  </r>
  <r>
    <s v="CUST0699"/>
    <s v="Female"/>
    <s v="No"/>
    <s v="No"/>
    <s v="No"/>
    <x v="30"/>
    <x v="1"/>
    <x v="2"/>
    <x v="2"/>
    <n v="60.34"/>
    <n v="3688.69"/>
    <x v="1"/>
  </r>
  <r>
    <s v="CUST0700"/>
    <s v="Male"/>
    <s v="Yes"/>
    <s v="Yes"/>
    <s v="No"/>
    <x v="40"/>
    <x v="1"/>
    <x v="2"/>
    <x v="0"/>
    <n v="20"/>
    <n v="659.01"/>
    <x v="1"/>
  </r>
  <r>
    <s v="CUST0701"/>
    <s v="Female"/>
    <s v="No"/>
    <s v="Yes"/>
    <s v="No"/>
    <x v="8"/>
    <x v="1"/>
    <x v="2"/>
    <x v="0"/>
    <n v="59.12"/>
    <n v="3113.61"/>
    <x v="0"/>
  </r>
  <r>
    <s v="CUST0702"/>
    <s v="Female"/>
    <s v="Yes"/>
    <s v="No"/>
    <s v="No"/>
    <x v="4"/>
    <x v="2"/>
    <x v="0"/>
    <x v="1"/>
    <n v="99.33"/>
    <n v="6584.77"/>
    <x v="0"/>
  </r>
  <r>
    <s v="CUST0703"/>
    <s v="Male"/>
    <s v="Yes"/>
    <s v="No"/>
    <s v="Yes"/>
    <x v="13"/>
    <x v="1"/>
    <x v="1"/>
    <x v="2"/>
    <n v="72.56"/>
    <n v="1977.27"/>
    <x v="0"/>
  </r>
  <r>
    <s v="CUST0704"/>
    <s v="Female"/>
    <s v="No"/>
    <s v="No"/>
    <s v="Yes"/>
    <x v="36"/>
    <x v="1"/>
    <x v="0"/>
    <x v="3"/>
    <n v="113.57"/>
    <n v="227.85"/>
    <x v="0"/>
  </r>
  <r>
    <s v="CUST0705"/>
    <s v="Male"/>
    <s v="No"/>
    <s v="Yes"/>
    <s v="No"/>
    <x v="41"/>
    <x v="0"/>
    <x v="0"/>
    <x v="3"/>
    <n v="70.08"/>
    <n v="1426.35"/>
    <x v="1"/>
  </r>
  <r>
    <s v="CUST0706"/>
    <s v="Male"/>
    <s v="No"/>
    <s v="Yes"/>
    <s v="No"/>
    <x v="40"/>
    <x v="2"/>
    <x v="2"/>
    <x v="1"/>
    <n v="109.52"/>
    <n v="4234.01"/>
    <x v="0"/>
  </r>
  <r>
    <s v="CUST0707"/>
    <s v="Female"/>
    <s v="No"/>
    <s v="Yes"/>
    <s v="Yes"/>
    <x v="1"/>
    <x v="0"/>
    <x v="0"/>
    <x v="0"/>
    <n v="84.63"/>
    <n v="5984.86"/>
    <x v="0"/>
  </r>
  <r>
    <s v="CUST0708"/>
    <s v="Female"/>
    <s v="No"/>
    <s v="No"/>
    <s v="Yes"/>
    <x v="1"/>
    <x v="2"/>
    <x v="0"/>
    <x v="3"/>
    <n v="95.11"/>
    <n v="6683.6"/>
    <x v="0"/>
  </r>
  <r>
    <s v="CUST0709"/>
    <s v="Female"/>
    <s v="No"/>
    <s v="Yes"/>
    <s v="Yes"/>
    <x v="17"/>
    <x v="1"/>
    <x v="0"/>
    <x v="0"/>
    <n v="102.59"/>
    <n v="6262.34"/>
    <x v="0"/>
  </r>
  <r>
    <s v="CUST0710"/>
    <s v="Female"/>
    <s v="No"/>
    <s v="Yes"/>
    <s v="Yes"/>
    <x v="0"/>
    <x v="1"/>
    <x v="2"/>
    <x v="2"/>
    <n v="35.46"/>
    <n v="1971.28"/>
    <x v="0"/>
  </r>
  <r>
    <s v="CUST0711"/>
    <s v="Male"/>
    <s v="No"/>
    <s v="No"/>
    <s v="No"/>
    <x v="12"/>
    <x v="1"/>
    <x v="2"/>
    <x v="3"/>
    <n v="44.88"/>
    <n v="198.68"/>
    <x v="0"/>
  </r>
  <r>
    <s v="CUST0712"/>
    <s v="Female"/>
    <s v="No"/>
    <s v="Yes"/>
    <s v="No"/>
    <x v="58"/>
    <x v="2"/>
    <x v="2"/>
    <x v="3"/>
    <n v="44.05"/>
    <n v="1515.49"/>
    <x v="0"/>
  </r>
  <r>
    <s v="CUST0713"/>
    <s v="Male"/>
    <s v="No"/>
    <s v="Yes"/>
    <s v="No"/>
    <x v="37"/>
    <x v="1"/>
    <x v="0"/>
    <x v="0"/>
    <n v="106.81"/>
    <n v="870.91"/>
    <x v="0"/>
  </r>
  <r>
    <s v="CUST0714"/>
    <s v="Female"/>
    <s v="No"/>
    <s v="No"/>
    <s v="No"/>
    <x v="36"/>
    <x v="1"/>
    <x v="0"/>
    <x v="0"/>
    <n v="72.36"/>
    <n v="147.71"/>
    <x v="1"/>
  </r>
  <r>
    <s v="CUST0715"/>
    <s v="Female"/>
    <s v="No"/>
    <s v="Yes"/>
    <s v="Yes"/>
    <x v="15"/>
    <x v="1"/>
    <x v="1"/>
    <x v="1"/>
    <n v="105.69"/>
    <n v="6045.01"/>
    <x v="0"/>
  </r>
  <r>
    <s v="CUST0716"/>
    <s v="Female"/>
    <s v="No"/>
    <s v="No"/>
    <s v="Yes"/>
    <x v="34"/>
    <x v="1"/>
    <x v="0"/>
    <x v="2"/>
    <n v="80.08"/>
    <n v="3800.56"/>
    <x v="0"/>
  </r>
  <r>
    <s v="CUST0717"/>
    <s v="Male"/>
    <s v="Yes"/>
    <s v="No"/>
    <s v="No"/>
    <x v="15"/>
    <x v="1"/>
    <x v="0"/>
    <x v="1"/>
    <n v="43.22"/>
    <n v="2645.65"/>
    <x v="0"/>
  </r>
  <r>
    <s v="CUST0718"/>
    <s v="Female"/>
    <s v="No"/>
    <s v="No"/>
    <s v="No"/>
    <x v="71"/>
    <x v="2"/>
    <x v="1"/>
    <x v="1"/>
    <n v="38.19"/>
    <n v="1168.22"/>
    <x v="0"/>
  </r>
  <r>
    <s v="CUST0719"/>
    <s v="Female"/>
    <s v="No"/>
    <s v="No"/>
    <s v="No"/>
    <x v="14"/>
    <x v="1"/>
    <x v="2"/>
    <x v="0"/>
    <n v="72.930000000000007"/>
    <n v="4980.79"/>
    <x v="0"/>
  </r>
  <r>
    <s v="CUST0720"/>
    <s v="Female"/>
    <s v="No"/>
    <s v="No"/>
    <s v="Yes"/>
    <x v="17"/>
    <x v="0"/>
    <x v="0"/>
    <x v="1"/>
    <n v="92.88"/>
    <n v="5590.52"/>
    <x v="0"/>
  </r>
  <r>
    <s v="CUST0721"/>
    <s v="Female"/>
    <s v="No"/>
    <s v="Yes"/>
    <s v="No"/>
    <x v="64"/>
    <x v="0"/>
    <x v="1"/>
    <x v="2"/>
    <n v="30.38"/>
    <n v="1515.41"/>
    <x v="0"/>
  </r>
  <r>
    <s v="CUST0722"/>
    <s v="Male"/>
    <s v="Yes"/>
    <s v="Yes"/>
    <s v="No"/>
    <x v="33"/>
    <x v="1"/>
    <x v="2"/>
    <x v="2"/>
    <n v="84.21"/>
    <n v="3514.25"/>
    <x v="0"/>
  </r>
  <r>
    <s v="CUST0723"/>
    <s v="Female"/>
    <s v="No"/>
    <s v="No"/>
    <s v="No"/>
    <x v="71"/>
    <x v="1"/>
    <x v="1"/>
    <x v="0"/>
    <n v="75.89"/>
    <n v="2316.65"/>
    <x v="0"/>
  </r>
  <r>
    <s v="CUST0724"/>
    <s v="Male"/>
    <s v="No"/>
    <s v="No"/>
    <s v="No"/>
    <x v="41"/>
    <x v="1"/>
    <x v="1"/>
    <x v="0"/>
    <n v="38.979999999999997"/>
    <n v="791.4"/>
    <x v="0"/>
  </r>
  <r>
    <s v="CUST0725"/>
    <s v="Male"/>
    <s v="No"/>
    <s v="Yes"/>
    <s v="No"/>
    <x v="60"/>
    <x v="1"/>
    <x v="0"/>
    <x v="3"/>
    <n v="129.22999999999999"/>
    <n v="422.94"/>
    <x v="0"/>
  </r>
  <r>
    <s v="CUST0726"/>
    <s v="Male"/>
    <s v="No"/>
    <s v="No"/>
    <s v="No"/>
    <x v="24"/>
    <x v="0"/>
    <x v="0"/>
    <x v="1"/>
    <n v="66.680000000000007"/>
    <n v="821.57"/>
    <x v="0"/>
  </r>
  <r>
    <s v="CUST0727"/>
    <s v="Male"/>
    <s v="No"/>
    <s v="No"/>
    <s v="Yes"/>
    <x v="53"/>
    <x v="1"/>
    <x v="0"/>
    <x v="2"/>
    <n v="55"/>
    <n v="2352.84"/>
    <x v="0"/>
  </r>
  <r>
    <s v="CUST0728"/>
    <s v="Male"/>
    <s v="No"/>
    <s v="No"/>
    <s v="Yes"/>
    <x v="61"/>
    <x v="1"/>
    <x v="0"/>
    <x v="3"/>
    <n v="41.77"/>
    <n v="1683.07"/>
    <x v="1"/>
  </r>
  <r>
    <s v="CUST0729"/>
    <s v="Male"/>
    <s v="No"/>
    <s v="Yes"/>
    <s v="Yes"/>
    <x v="34"/>
    <x v="1"/>
    <x v="2"/>
    <x v="0"/>
    <n v="100.52"/>
    <n v="5005.32"/>
    <x v="0"/>
  </r>
  <r>
    <s v="CUST0730"/>
    <s v="Female"/>
    <s v="No"/>
    <s v="Yes"/>
    <s v="No"/>
    <x v="27"/>
    <x v="2"/>
    <x v="2"/>
    <x v="0"/>
    <n v="70.569999999999993"/>
    <n v="1372.19"/>
    <x v="0"/>
  </r>
  <r>
    <s v="CUST0731"/>
    <s v="Male"/>
    <s v="No"/>
    <s v="No"/>
    <s v="No"/>
    <x v="25"/>
    <x v="2"/>
    <x v="2"/>
    <x v="3"/>
    <n v="58.02"/>
    <n v="2949.54"/>
    <x v="0"/>
  </r>
  <r>
    <s v="CUST0732"/>
    <s v="Male"/>
    <s v="No"/>
    <s v="No"/>
    <s v="No"/>
    <x v="55"/>
    <x v="2"/>
    <x v="0"/>
    <x v="1"/>
    <n v="43.15"/>
    <n v="1551.07"/>
    <x v="0"/>
  </r>
  <r>
    <s v="CUST0733"/>
    <s v="Male"/>
    <s v="No"/>
    <s v="Yes"/>
    <s v="Yes"/>
    <x v="56"/>
    <x v="0"/>
    <x v="2"/>
    <x v="0"/>
    <n v="60.27"/>
    <n v="104.25"/>
    <x v="0"/>
  </r>
  <r>
    <s v="CUST0734"/>
    <s v="Female"/>
    <s v="Yes"/>
    <s v="Yes"/>
    <s v="No"/>
    <x v="59"/>
    <x v="1"/>
    <x v="2"/>
    <x v="0"/>
    <n v="129.54"/>
    <n v="1741.21"/>
    <x v="1"/>
  </r>
  <r>
    <s v="CUST0735"/>
    <s v="Female"/>
    <s v="No"/>
    <s v="No"/>
    <s v="No"/>
    <x v="11"/>
    <x v="0"/>
    <x v="2"/>
    <x v="1"/>
    <n v="20"/>
    <n v="283.45"/>
    <x v="0"/>
  </r>
  <r>
    <s v="CUST0736"/>
    <s v="Male"/>
    <s v="No"/>
    <s v="No"/>
    <s v="No"/>
    <x v="29"/>
    <x v="1"/>
    <x v="0"/>
    <x v="3"/>
    <n v="64.209999999999994"/>
    <n v="1593.13"/>
    <x v="0"/>
  </r>
  <r>
    <s v="CUST0737"/>
    <s v="Female"/>
    <s v="No"/>
    <s v="Yes"/>
    <s v="No"/>
    <x v="32"/>
    <x v="0"/>
    <x v="1"/>
    <x v="3"/>
    <n v="99.82"/>
    <n v="5692.53"/>
    <x v="0"/>
  </r>
  <r>
    <s v="CUST0738"/>
    <s v="Male"/>
    <s v="No"/>
    <s v="Yes"/>
    <s v="No"/>
    <x v="1"/>
    <x v="0"/>
    <x v="1"/>
    <x v="2"/>
    <n v="86.22"/>
    <n v="6110.19"/>
    <x v="0"/>
  </r>
  <r>
    <s v="CUST0739"/>
    <s v="Male"/>
    <s v="No"/>
    <s v="Yes"/>
    <s v="No"/>
    <x v="63"/>
    <x v="1"/>
    <x v="0"/>
    <x v="1"/>
    <n v="65.73"/>
    <n v="1339.18"/>
    <x v="0"/>
  </r>
  <r>
    <s v="CUST0740"/>
    <s v="Female"/>
    <s v="No"/>
    <s v="No"/>
    <s v="Yes"/>
    <x v="57"/>
    <x v="0"/>
    <x v="1"/>
    <x v="1"/>
    <n v="60.09"/>
    <n v="2789.7"/>
    <x v="0"/>
  </r>
  <r>
    <s v="CUST0741"/>
    <s v="Male"/>
    <s v="No"/>
    <s v="Yes"/>
    <s v="No"/>
    <x v="1"/>
    <x v="2"/>
    <x v="0"/>
    <x v="2"/>
    <n v="91.57"/>
    <n v="6486.39"/>
    <x v="1"/>
  </r>
  <r>
    <s v="CUST0742"/>
    <s v="Female"/>
    <s v="No"/>
    <s v="No"/>
    <s v="Yes"/>
    <x v="31"/>
    <x v="1"/>
    <x v="0"/>
    <x v="1"/>
    <n v="83.35"/>
    <n v="409.77"/>
    <x v="1"/>
  </r>
  <r>
    <s v="CUST0743"/>
    <s v="Female"/>
    <s v="No"/>
    <s v="Yes"/>
    <s v="Yes"/>
    <x v="15"/>
    <x v="2"/>
    <x v="0"/>
    <x v="2"/>
    <n v="124.61"/>
    <n v="7101.57"/>
    <x v="0"/>
  </r>
  <r>
    <s v="CUST0744"/>
    <s v="Male"/>
    <s v="No"/>
    <s v="Yes"/>
    <s v="Yes"/>
    <x v="15"/>
    <x v="1"/>
    <x v="2"/>
    <x v="0"/>
    <n v="78.489999999999995"/>
    <n v="4507.49"/>
    <x v="0"/>
  </r>
  <r>
    <s v="CUST0745"/>
    <s v="Male"/>
    <s v="No"/>
    <s v="Yes"/>
    <s v="No"/>
    <x v="24"/>
    <x v="0"/>
    <x v="1"/>
    <x v="2"/>
    <n v="83.39"/>
    <n v="914.85"/>
    <x v="0"/>
  </r>
  <r>
    <s v="CUST0746"/>
    <s v="Female"/>
    <s v="No"/>
    <s v="Yes"/>
    <s v="No"/>
    <x v="22"/>
    <x v="1"/>
    <x v="0"/>
    <x v="2"/>
    <n v="84.54"/>
    <n v="3139.24"/>
    <x v="0"/>
  </r>
  <r>
    <s v="CUST0747"/>
    <s v="Male"/>
    <s v="Yes"/>
    <s v="No"/>
    <s v="No"/>
    <x v="13"/>
    <x v="1"/>
    <x v="0"/>
    <x v="0"/>
    <n v="29.19"/>
    <n v="975.7"/>
    <x v="1"/>
  </r>
  <r>
    <s v="CUST0748"/>
    <s v="Male"/>
    <s v="Yes"/>
    <s v="No"/>
    <s v="Yes"/>
    <x v="65"/>
    <x v="2"/>
    <x v="0"/>
    <x v="1"/>
    <n v="50.19"/>
    <n v="3068"/>
    <x v="0"/>
  </r>
  <r>
    <s v="CUST0749"/>
    <s v="Male"/>
    <s v="No"/>
    <s v="Yes"/>
    <s v="No"/>
    <x v="5"/>
    <x v="2"/>
    <x v="2"/>
    <x v="1"/>
    <n v="45.38"/>
    <n v="474.51"/>
    <x v="0"/>
  </r>
  <r>
    <s v="CUST0750"/>
    <s v="Female"/>
    <s v="No"/>
    <s v="No"/>
    <s v="No"/>
    <x v="39"/>
    <x v="0"/>
    <x v="2"/>
    <x v="0"/>
    <n v="63.77"/>
    <n v="38.619999999999997"/>
    <x v="0"/>
  </r>
  <r>
    <s v="CUST0751"/>
    <s v="Female"/>
    <s v="No"/>
    <s v="Yes"/>
    <s v="No"/>
    <x v="11"/>
    <x v="1"/>
    <x v="0"/>
    <x v="2"/>
    <n v="131.96"/>
    <n v="2104.1999999999998"/>
    <x v="0"/>
  </r>
  <r>
    <s v="CUST0752"/>
    <s v="Male"/>
    <s v="No"/>
    <s v="Yes"/>
    <s v="No"/>
    <x v="45"/>
    <x v="2"/>
    <x v="2"/>
    <x v="2"/>
    <n v="79.06"/>
    <n v="2174.59"/>
    <x v="1"/>
  </r>
  <r>
    <s v="CUST0753"/>
    <s v="Female"/>
    <s v="Yes"/>
    <s v="Yes"/>
    <s v="Yes"/>
    <x v="24"/>
    <x v="1"/>
    <x v="0"/>
    <x v="2"/>
    <n v="77.36"/>
    <n v="971.07"/>
    <x v="0"/>
  </r>
  <r>
    <s v="CUST0754"/>
    <s v="Female"/>
    <s v="Yes"/>
    <s v="Yes"/>
    <s v="No"/>
    <x v="24"/>
    <x v="2"/>
    <x v="0"/>
    <x v="3"/>
    <n v="110.96"/>
    <n v="1168.21"/>
    <x v="0"/>
  </r>
  <r>
    <s v="CUST0755"/>
    <s v="Female"/>
    <s v="No"/>
    <s v="No"/>
    <s v="No"/>
    <x v="43"/>
    <x v="1"/>
    <x v="0"/>
    <x v="1"/>
    <n v="43.7"/>
    <n v="1923.16"/>
    <x v="1"/>
  </r>
  <r>
    <s v="CUST0756"/>
    <s v="Female"/>
    <s v="No"/>
    <s v="Yes"/>
    <s v="Yes"/>
    <x v="51"/>
    <x v="1"/>
    <x v="0"/>
    <x v="1"/>
    <n v="67.760000000000005"/>
    <n v="1470.52"/>
    <x v="1"/>
  </r>
  <r>
    <s v="CUST0757"/>
    <s v="Female"/>
    <s v="No"/>
    <s v="Yes"/>
    <s v="No"/>
    <x v="44"/>
    <x v="0"/>
    <x v="0"/>
    <x v="1"/>
    <n v="64.069999999999993"/>
    <n v="3647.99"/>
    <x v="0"/>
  </r>
  <r>
    <s v="CUST0758"/>
    <s v="Male"/>
    <s v="No"/>
    <s v="No"/>
    <s v="No"/>
    <x v="62"/>
    <x v="1"/>
    <x v="0"/>
    <x v="2"/>
    <n v="89.95"/>
    <n v="3382.1"/>
    <x v="1"/>
  </r>
  <r>
    <s v="CUST0759"/>
    <s v="Male"/>
    <s v="Yes"/>
    <s v="Yes"/>
    <s v="No"/>
    <x v="59"/>
    <x v="1"/>
    <x v="0"/>
    <x v="0"/>
    <n v="102.4"/>
    <n v="1323.93"/>
    <x v="1"/>
  </r>
  <r>
    <s v="CUST0760"/>
    <s v="Male"/>
    <s v="No"/>
    <s v="Yes"/>
    <s v="Yes"/>
    <x v="47"/>
    <x v="1"/>
    <x v="0"/>
    <x v="3"/>
    <n v="91.79"/>
    <n v="6664.29"/>
    <x v="0"/>
  </r>
  <r>
    <s v="CUST0761"/>
    <s v="Female"/>
    <s v="No"/>
    <s v="Yes"/>
    <s v="Yes"/>
    <x v="64"/>
    <x v="1"/>
    <x v="0"/>
    <x v="0"/>
    <n v="92.18"/>
    <n v="4795.79"/>
    <x v="0"/>
  </r>
  <r>
    <s v="CUST0762"/>
    <s v="Female"/>
    <s v="No"/>
    <s v="No"/>
    <s v="Yes"/>
    <x v="8"/>
    <x v="1"/>
    <x v="1"/>
    <x v="3"/>
    <n v="45.97"/>
    <n v="2455.16"/>
    <x v="0"/>
  </r>
  <r>
    <s v="CUST0763"/>
    <s v="Male"/>
    <s v="No"/>
    <s v="Yes"/>
    <s v="No"/>
    <x v="64"/>
    <x v="1"/>
    <x v="2"/>
    <x v="3"/>
    <n v="78.02"/>
    <n v="4065.4"/>
    <x v="0"/>
  </r>
  <r>
    <s v="CUST0764"/>
    <s v="Female"/>
    <s v="No"/>
    <s v="No"/>
    <s v="No"/>
    <x v="45"/>
    <x v="1"/>
    <x v="0"/>
    <x v="1"/>
    <n v="59"/>
    <n v="1821.15"/>
    <x v="1"/>
  </r>
  <r>
    <s v="CUST0765"/>
    <s v="Male"/>
    <s v="Yes"/>
    <s v="Yes"/>
    <s v="Yes"/>
    <x v="16"/>
    <x v="1"/>
    <x v="1"/>
    <x v="0"/>
    <n v="71.849999999999994"/>
    <n v="2315.38"/>
    <x v="0"/>
  </r>
  <r>
    <s v="CUST0766"/>
    <s v="Male"/>
    <s v="Yes"/>
    <s v="Yes"/>
    <s v="No"/>
    <x v="0"/>
    <x v="0"/>
    <x v="0"/>
    <x v="2"/>
    <n v="67.48"/>
    <n v="3761.88"/>
    <x v="0"/>
  </r>
  <r>
    <s v="CUST0767"/>
    <s v="Male"/>
    <s v="No"/>
    <s v="No"/>
    <s v="No"/>
    <x v="64"/>
    <x v="1"/>
    <x v="2"/>
    <x v="1"/>
    <n v="41.96"/>
    <n v="2030.51"/>
    <x v="1"/>
  </r>
  <r>
    <s v="CUST0768"/>
    <s v="Female"/>
    <s v="No"/>
    <s v="Yes"/>
    <s v="Yes"/>
    <x v="54"/>
    <x v="2"/>
    <x v="0"/>
    <x v="0"/>
    <n v="80.95"/>
    <n v="623.75"/>
    <x v="0"/>
  </r>
  <r>
    <s v="CUST0769"/>
    <s v="Female"/>
    <s v="No"/>
    <s v="Yes"/>
    <s v="No"/>
    <x v="25"/>
    <x v="2"/>
    <x v="2"/>
    <x v="2"/>
    <n v="22.17"/>
    <n v="1163.42"/>
    <x v="1"/>
  </r>
  <r>
    <s v="CUST0770"/>
    <s v="Male"/>
    <s v="No"/>
    <s v="No"/>
    <s v="No"/>
    <x v="56"/>
    <x v="1"/>
    <x v="2"/>
    <x v="1"/>
    <n v="106.86"/>
    <n v="53.43"/>
    <x v="0"/>
  </r>
  <r>
    <s v="CUST0771"/>
    <s v="Male"/>
    <s v="No"/>
    <s v="No"/>
    <s v="Yes"/>
    <x v="72"/>
    <x v="0"/>
    <x v="1"/>
    <x v="2"/>
    <n v="74.930000000000007"/>
    <n v="3218.93"/>
    <x v="0"/>
  </r>
  <r>
    <s v="CUST0772"/>
    <s v="Male"/>
    <s v="No"/>
    <s v="No"/>
    <s v="Yes"/>
    <x v="54"/>
    <x v="2"/>
    <x v="0"/>
    <x v="2"/>
    <n v="88.42"/>
    <n v="622.37"/>
    <x v="0"/>
  </r>
  <r>
    <s v="CUST0773"/>
    <s v="Male"/>
    <s v="No"/>
    <s v="No"/>
    <s v="No"/>
    <x v="58"/>
    <x v="2"/>
    <x v="2"/>
    <x v="1"/>
    <n v="29.41"/>
    <n v="1000.78"/>
    <x v="0"/>
  </r>
  <r>
    <s v="CUST0774"/>
    <s v="Female"/>
    <s v="Yes"/>
    <s v="No"/>
    <s v="No"/>
    <x v="59"/>
    <x v="0"/>
    <x v="1"/>
    <x v="0"/>
    <n v="37.5"/>
    <n v="559.07000000000005"/>
    <x v="0"/>
  </r>
  <r>
    <s v="CUST0775"/>
    <s v="Female"/>
    <s v="No"/>
    <s v="Yes"/>
    <s v="No"/>
    <x v="7"/>
    <x v="1"/>
    <x v="1"/>
    <x v="1"/>
    <n v="56.01"/>
    <n v="579.34"/>
    <x v="1"/>
  </r>
  <r>
    <s v="CUST0776"/>
    <s v="Male"/>
    <s v="Yes"/>
    <s v="No"/>
    <s v="No"/>
    <x v="0"/>
    <x v="0"/>
    <x v="0"/>
    <x v="2"/>
    <n v="73.42"/>
    <n v="4126.63"/>
    <x v="0"/>
  </r>
  <r>
    <s v="CUST0777"/>
    <s v="Male"/>
    <s v="No"/>
    <s v="Yes"/>
    <s v="Yes"/>
    <x v="31"/>
    <x v="0"/>
    <x v="2"/>
    <x v="1"/>
    <n v="27.79"/>
    <n v="106.12"/>
    <x v="0"/>
  </r>
  <r>
    <s v="CUST0778"/>
    <s v="Female"/>
    <s v="No"/>
    <s v="Yes"/>
    <s v="Yes"/>
    <x v="1"/>
    <x v="0"/>
    <x v="0"/>
    <x v="3"/>
    <n v="47.09"/>
    <n v="3263.09"/>
    <x v="0"/>
  </r>
  <r>
    <s v="CUST0779"/>
    <s v="Female"/>
    <s v="Yes"/>
    <s v="Yes"/>
    <s v="No"/>
    <x v="10"/>
    <x v="1"/>
    <x v="0"/>
    <x v="0"/>
    <n v="72.92"/>
    <n v="1845.21"/>
    <x v="0"/>
  </r>
  <r>
    <s v="CUST0780"/>
    <s v="Male"/>
    <s v="No"/>
    <s v="No"/>
    <s v="Yes"/>
    <x v="17"/>
    <x v="2"/>
    <x v="0"/>
    <x v="1"/>
    <n v="47.92"/>
    <n v="2907.77"/>
    <x v="0"/>
  </r>
  <r>
    <s v="CUST0781"/>
    <s v="Male"/>
    <s v="No"/>
    <s v="No"/>
    <s v="Yes"/>
    <x v="7"/>
    <x v="2"/>
    <x v="1"/>
    <x v="0"/>
    <n v="89.28"/>
    <n v="993.38"/>
    <x v="1"/>
  </r>
  <r>
    <s v="CUST0782"/>
    <s v="Male"/>
    <s v="No"/>
    <s v="Yes"/>
    <s v="No"/>
    <x v="50"/>
    <x v="1"/>
    <x v="0"/>
    <x v="0"/>
    <n v="92.36"/>
    <n v="5922.65"/>
    <x v="0"/>
  </r>
  <r>
    <s v="CUST0783"/>
    <s v="Female"/>
    <s v="No"/>
    <s v="No"/>
    <s v="No"/>
    <x v="61"/>
    <x v="1"/>
    <x v="2"/>
    <x v="0"/>
    <n v="49.91"/>
    <n v="1940.81"/>
    <x v="0"/>
  </r>
  <r>
    <s v="CUST0784"/>
    <s v="Female"/>
    <s v="Yes"/>
    <s v="No"/>
    <s v="No"/>
    <x v="17"/>
    <x v="1"/>
    <x v="0"/>
    <x v="2"/>
    <n v="109.23"/>
    <n v="6656.57"/>
    <x v="0"/>
  </r>
  <r>
    <s v="CUST0785"/>
    <s v="Female"/>
    <s v="No"/>
    <s v="No"/>
    <s v="No"/>
    <x v="69"/>
    <x v="2"/>
    <x v="2"/>
    <x v="0"/>
    <n v="94.19"/>
    <n v="876.46"/>
    <x v="1"/>
  </r>
  <r>
    <s v="CUST0786"/>
    <s v="Male"/>
    <s v="No"/>
    <s v="No"/>
    <s v="Yes"/>
    <x v="43"/>
    <x v="0"/>
    <x v="0"/>
    <x v="1"/>
    <n v="87.22"/>
    <n v="3390.52"/>
    <x v="0"/>
  </r>
  <r>
    <s v="CUST0787"/>
    <s v="Male"/>
    <s v="Yes"/>
    <s v="Yes"/>
    <s v="No"/>
    <x v="11"/>
    <x v="0"/>
    <x v="0"/>
    <x v="1"/>
    <n v="79.010000000000005"/>
    <n v="1510.21"/>
    <x v="0"/>
  </r>
  <r>
    <s v="CUST0788"/>
    <s v="Female"/>
    <s v="No"/>
    <s v="Yes"/>
    <s v="Yes"/>
    <x v="58"/>
    <x v="1"/>
    <x v="2"/>
    <x v="2"/>
    <n v="62.54"/>
    <n v="1874.85"/>
    <x v="1"/>
  </r>
  <r>
    <s v="CUST0789"/>
    <s v="Female"/>
    <s v="Yes"/>
    <s v="No"/>
    <s v="No"/>
    <x v="62"/>
    <x v="0"/>
    <x v="0"/>
    <x v="0"/>
    <n v="66.5"/>
    <n v="2534.0500000000002"/>
    <x v="0"/>
  </r>
  <r>
    <s v="CUST0790"/>
    <s v="Male"/>
    <s v="Yes"/>
    <s v="Yes"/>
    <s v="No"/>
    <x v="63"/>
    <x v="1"/>
    <x v="2"/>
    <x v="0"/>
    <n v="36.58"/>
    <n v="697.05"/>
    <x v="1"/>
  </r>
  <r>
    <s v="CUST0791"/>
    <s v="Female"/>
    <s v="No"/>
    <s v="No"/>
    <s v="No"/>
    <x v="3"/>
    <x v="1"/>
    <x v="2"/>
    <x v="3"/>
    <n v="108.21"/>
    <n v="5866.95"/>
    <x v="0"/>
  </r>
  <r>
    <s v="CUST0792"/>
    <s v="Female"/>
    <s v="Yes"/>
    <s v="No"/>
    <s v="No"/>
    <x v="12"/>
    <x v="0"/>
    <x v="0"/>
    <x v="0"/>
    <n v="66.989999999999995"/>
    <n v="319.86"/>
    <x v="1"/>
  </r>
  <r>
    <s v="CUST0793"/>
    <s v="Male"/>
    <s v="No"/>
    <s v="Yes"/>
    <s v="No"/>
    <x v="18"/>
    <x v="2"/>
    <x v="2"/>
    <x v="3"/>
    <n v="70.709999999999994"/>
    <n v="3572.94"/>
    <x v="0"/>
  </r>
  <r>
    <s v="CUST0794"/>
    <s v="Female"/>
    <s v="No"/>
    <s v="Yes"/>
    <s v="Yes"/>
    <x v="67"/>
    <x v="2"/>
    <x v="0"/>
    <x v="1"/>
    <n v="57.24"/>
    <n v="2045.09"/>
    <x v="0"/>
  </r>
  <r>
    <s v="CUST0795"/>
    <s v="Male"/>
    <s v="No"/>
    <s v="Yes"/>
    <s v="No"/>
    <x v="70"/>
    <x v="2"/>
    <x v="2"/>
    <x v="1"/>
    <n v="63.51"/>
    <n v="3975.25"/>
    <x v="0"/>
  </r>
  <r>
    <s v="CUST0796"/>
    <s v="Male"/>
    <s v="No"/>
    <s v="No"/>
    <s v="No"/>
    <x v="25"/>
    <x v="1"/>
    <x v="0"/>
    <x v="3"/>
    <n v="140"/>
    <n v="7516.02"/>
    <x v="0"/>
  </r>
  <r>
    <s v="CUST0797"/>
    <s v="Male"/>
    <s v="No"/>
    <s v="Yes"/>
    <s v="Yes"/>
    <x v="1"/>
    <x v="1"/>
    <x v="0"/>
    <x v="0"/>
    <n v="61.85"/>
    <n v="4349.3999999999996"/>
    <x v="0"/>
  </r>
  <r>
    <s v="CUST0798"/>
    <s v="Male"/>
    <s v="Yes"/>
    <s v="No"/>
    <s v="No"/>
    <x v="34"/>
    <x v="0"/>
    <x v="0"/>
    <x v="3"/>
    <n v="116.21"/>
    <n v="5579.77"/>
    <x v="0"/>
  </r>
  <r>
    <s v="CUST0799"/>
    <s v="Male"/>
    <s v="No"/>
    <s v="Yes"/>
    <s v="No"/>
    <x v="69"/>
    <x v="2"/>
    <x v="0"/>
    <x v="1"/>
    <n v="79.3"/>
    <n v="719.27"/>
    <x v="0"/>
  </r>
  <r>
    <s v="CUST0800"/>
    <s v="Male"/>
    <s v="No"/>
    <s v="Yes"/>
    <s v="Yes"/>
    <x v="34"/>
    <x v="1"/>
    <x v="1"/>
    <x v="2"/>
    <n v="72"/>
    <n v="3590.81"/>
    <x v="0"/>
  </r>
  <r>
    <s v="CUST0801"/>
    <s v="Male"/>
    <s v="Yes"/>
    <s v="No"/>
    <s v="No"/>
    <x v="51"/>
    <x v="1"/>
    <x v="2"/>
    <x v="3"/>
    <n v="101.11"/>
    <n v="2106.08"/>
    <x v="1"/>
  </r>
  <r>
    <s v="CUST0802"/>
    <s v="Female"/>
    <s v="No"/>
    <s v="No"/>
    <s v="No"/>
    <x v="20"/>
    <x v="1"/>
    <x v="2"/>
    <x v="1"/>
    <n v="76.81"/>
    <n v="4980.41"/>
    <x v="0"/>
  </r>
  <r>
    <s v="CUST0803"/>
    <s v="Male"/>
    <s v="Yes"/>
    <s v="No"/>
    <s v="No"/>
    <x v="30"/>
    <x v="0"/>
    <x v="0"/>
    <x v="3"/>
    <n v="71.209999999999994"/>
    <n v="4383.0600000000004"/>
    <x v="0"/>
  </r>
  <r>
    <s v="CUST0804"/>
    <s v="Male"/>
    <s v="No"/>
    <s v="No"/>
    <s v="No"/>
    <x v="13"/>
    <x v="1"/>
    <x v="2"/>
    <x v="2"/>
    <n v="65.349999999999994"/>
    <n v="1761.9"/>
    <x v="0"/>
  </r>
  <r>
    <s v="CUST0805"/>
    <s v="Female"/>
    <s v="No"/>
    <s v="No"/>
    <s v="No"/>
    <x v="11"/>
    <x v="1"/>
    <x v="1"/>
    <x v="2"/>
    <n v="51.19"/>
    <n v="807.97"/>
    <x v="1"/>
  </r>
  <r>
    <s v="CUST0806"/>
    <s v="Female"/>
    <s v="No"/>
    <s v="No"/>
    <s v="No"/>
    <x v="12"/>
    <x v="1"/>
    <x v="2"/>
    <x v="0"/>
    <n v="116.61"/>
    <n v="459.3"/>
    <x v="1"/>
  </r>
  <r>
    <s v="CUST0807"/>
    <s v="Female"/>
    <s v="No"/>
    <s v="No"/>
    <s v="No"/>
    <x v="19"/>
    <x v="1"/>
    <x v="0"/>
    <x v="3"/>
    <n v="42.9"/>
    <n v="858.81"/>
    <x v="1"/>
  </r>
  <r>
    <s v="CUST0808"/>
    <s v="Male"/>
    <s v="No"/>
    <s v="No"/>
    <s v="Yes"/>
    <x v="3"/>
    <x v="2"/>
    <x v="0"/>
    <x v="1"/>
    <n v="35.729999999999997"/>
    <n v="1946.98"/>
    <x v="0"/>
  </r>
  <r>
    <s v="CUST0809"/>
    <s v="Female"/>
    <s v="No"/>
    <s v="Yes"/>
    <s v="No"/>
    <x v="13"/>
    <x v="1"/>
    <x v="2"/>
    <x v="1"/>
    <n v="27.4"/>
    <n v="891.67"/>
    <x v="0"/>
  </r>
  <r>
    <s v="CUST0810"/>
    <s v="Male"/>
    <s v="No"/>
    <s v="No"/>
    <s v="No"/>
    <x v="20"/>
    <x v="0"/>
    <x v="0"/>
    <x v="3"/>
    <n v="57.65"/>
    <n v="3781"/>
    <x v="0"/>
  </r>
  <r>
    <s v="CUST0811"/>
    <s v="Male"/>
    <s v="Yes"/>
    <s v="No"/>
    <s v="Yes"/>
    <x v="40"/>
    <x v="0"/>
    <x v="2"/>
    <x v="2"/>
    <n v="87.5"/>
    <n v="3035.81"/>
    <x v="1"/>
  </r>
  <r>
    <s v="CUST0812"/>
    <s v="Male"/>
    <s v="No"/>
    <s v="Yes"/>
    <s v="No"/>
    <x v="67"/>
    <x v="2"/>
    <x v="0"/>
    <x v="1"/>
    <n v="99.04"/>
    <n v="3462.91"/>
    <x v="0"/>
  </r>
  <r>
    <s v="CUST0813"/>
    <s v="Male"/>
    <s v="No"/>
    <s v="No"/>
    <s v="No"/>
    <x v="23"/>
    <x v="1"/>
    <x v="2"/>
    <x v="0"/>
    <n v="54.81"/>
    <n v="3500.59"/>
    <x v="0"/>
  </r>
  <r>
    <s v="CUST0814"/>
    <s v="Female"/>
    <s v="No"/>
    <s v="Yes"/>
    <s v="Yes"/>
    <x v="34"/>
    <x v="2"/>
    <x v="1"/>
    <x v="0"/>
    <n v="54.29"/>
    <n v="2502.4"/>
    <x v="0"/>
  </r>
  <r>
    <s v="CUST0815"/>
    <s v="Female"/>
    <s v="No"/>
    <s v="Yes"/>
    <s v="No"/>
    <x v="43"/>
    <x v="0"/>
    <x v="1"/>
    <x v="0"/>
    <n v="27.09"/>
    <n v="1007.09"/>
    <x v="0"/>
  </r>
  <r>
    <s v="CUST0816"/>
    <s v="Male"/>
    <s v="No"/>
    <s v="No"/>
    <s v="No"/>
    <x v="55"/>
    <x v="2"/>
    <x v="2"/>
    <x v="1"/>
    <n v="44.41"/>
    <n v="1574.56"/>
    <x v="0"/>
  </r>
  <r>
    <s v="CUST0817"/>
    <s v="Male"/>
    <s v="No"/>
    <s v="Yes"/>
    <s v="No"/>
    <x v="32"/>
    <x v="2"/>
    <x v="2"/>
    <x v="2"/>
    <n v="84.5"/>
    <n v="4791.21"/>
    <x v="0"/>
  </r>
  <r>
    <s v="CUST0818"/>
    <s v="Male"/>
    <s v="No"/>
    <s v="No"/>
    <s v="Yes"/>
    <x v="24"/>
    <x v="1"/>
    <x v="0"/>
    <x v="1"/>
    <n v="106.19"/>
    <n v="1333.52"/>
    <x v="0"/>
  </r>
  <r>
    <s v="CUST0819"/>
    <s v="Female"/>
    <s v="Yes"/>
    <s v="Yes"/>
    <s v="Yes"/>
    <x v="64"/>
    <x v="1"/>
    <x v="2"/>
    <x v="3"/>
    <n v="58.08"/>
    <n v="2959.03"/>
    <x v="0"/>
  </r>
  <r>
    <s v="CUST0820"/>
    <s v="Male"/>
    <s v="Yes"/>
    <s v="Yes"/>
    <s v="No"/>
    <x v="32"/>
    <x v="1"/>
    <x v="1"/>
    <x v="3"/>
    <n v="95.88"/>
    <n v="5445.94"/>
    <x v="0"/>
  </r>
  <r>
    <s v="CUST0821"/>
    <s v="Male"/>
    <s v="No"/>
    <s v="Yes"/>
    <s v="No"/>
    <x v="58"/>
    <x v="1"/>
    <x v="0"/>
    <x v="0"/>
    <n v="104.14"/>
    <n v="3388.6"/>
    <x v="0"/>
  </r>
  <r>
    <s v="CUST0822"/>
    <s v="Female"/>
    <s v="Yes"/>
    <s v="No"/>
    <s v="Yes"/>
    <x v="66"/>
    <x v="1"/>
    <x v="0"/>
    <x v="1"/>
    <n v="119.79"/>
    <n v="7085.44"/>
    <x v="0"/>
  </r>
  <r>
    <s v="CUST0823"/>
    <s v="Female"/>
    <s v="No"/>
    <s v="No"/>
    <s v="No"/>
    <x v="32"/>
    <x v="1"/>
    <x v="0"/>
    <x v="1"/>
    <n v="72.48"/>
    <n v="4124.92"/>
    <x v="1"/>
  </r>
  <r>
    <s v="CUST0824"/>
    <s v="Male"/>
    <s v="No"/>
    <s v="Yes"/>
    <s v="Yes"/>
    <x v="3"/>
    <x v="1"/>
    <x v="0"/>
    <x v="0"/>
    <n v="118.02"/>
    <n v="6422.82"/>
    <x v="0"/>
  </r>
  <r>
    <s v="CUST0825"/>
    <s v="Female"/>
    <s v="No"/>
    <s v="Yes"/>
    <s v="No"/>
    <x v="13"/>
    <x v="1"/>
    <x v="1"/>
    <x v="2"/>
    <n v="109.49"/>
    <n v="2862.16"/>
    <x v="0"/>
  </r>
  <r>
    <s v="CUST0826"/>
    <s v="Female"/>
    <s v="No"/>
    <s v="No"/>
    <s v="No"/>
    <x v="56"/>
    <x v="1"/>
    <x v="1"/>
    <x v="0"/>
    <n v="44.69"/>
    <n v="61.64"/>
    <x v="0"/>
  </r>
  <r>
    <s v="CUST0827"/>
    <s v="Male"/>
    <s v="No"/>
    <s v="No"/>
    <s v="No"/>
    <x v="61"/>
    <x v="1"/>
    <x v="2"/>
    <x v="2"/>
    <n v="66.150000000000006"/>
    <n v="2769.01"/>
    <x v="0"/>
  </r>
  <r>
    <s v="CUST0828"/>
    <s v="Female"/>
    <s v="No"/>
    <s v="Yes"/>
    <s v="Yes"/>
    <x v="48"/>
    <x v="1"/>
    <x v="2"/>
    <x v="0"/>
    <n v="46.31"/>
    <n v="2302.3000000000002"/>
    <x v="0"/>
  </r>
  <r>
    <s v="CUST0829"/>
    <s v="Male"/>
    <s v="No"/>
    <s v="Yes"/>
    <s v="No"/>
    <x v="62"/>
    <x v="1"/>
    <x v="1"/>
    <x v="1"/>
    <n v="26.39"/>
    <n v="1067.52"/>
    <x v="0"/>
  </r>
  <r>
    <s v="CUST0830"/>
    <s v="Female"/>
    <s v="No"/>
    <s v="No"/>
    <s v="Yes"/>
    <x v="30"/>
    <x v="1"/>
    <x v="1"/>
    <x v="1"/>
    <n v="26.69"/>
    <n v="1623.33"/>
    <x v="0"/>
  </r>
  <r>
    <s v="CUST0831"/>
    <s v="Male"/>
    <s v="No"/>
    <s v="No"/>
    <s v="No"/>
    <x v="1"/>
    <x v="1"/>
    <x v="2"/>
    <x v="1"/>
    <n v="49.71"/>
    <n v="3570.29"/>
    <x v="0"/>
  </r>
  <r>
    <s v="CUST0832"/>
    <s v="Male"/>
    <s v="No"/>
    <s v="No"/>
    <s v="No"/>
    <x v="60"/>
    <x v="2"/>
    <x v="0"/>
    <x v="1"/>
    <n v="86.87"/>
    <n v="254.19"/>
    <x v="0"/>
  </r>
  <r>
    <s v="CUST0833"/>
    <s v="Male"/>
    <s v="No"/>
    <s v="No"/>
    <s v="Yes"/>
    <x v="40"/>
    <x v="1"/>
    <x v="0"/>
    <x v="0"/>
    <n v="60.77"/>
    <n v="2317.7199999999998"/>
    <x v="0"/>
  </r>
  <r>
    <s v="CUST0834"/>
    <s v="Female"/>
    <s v="No"/>
    <s v="No"/>
    <s v="Yes"/>
    <x v="10"/>
    <x v="1"/>
    <x v="2"/>
    <x v="3"/>
    <n v="76.099999999999994"/>
    <n v="2085.35"/>
    <x v="0"/>
  </r>
  <r>
    <s v="CUST0835"/>
    <s v="Male"/>
    <s v="No"/>
    <s v="Yes"/>
    <s v="No"/>
    <x v="54"/>
    <x v="1"/>
    <x v="1"/>
    <x v="3"/>
    <n v="61.62"/>
    <n v="479.48"/>
    <x v="1"/>
  </r>
  <r>
    <s v="CUST0836"/>
    <s v="Female"/>
    <s v="No"/>
    <s v="No"/>
    <s v="No"/>
    <x v="5"/>
    <x v="2"/>
    <x v="2"/>
    <x v="1"/>
    <n v="58.25"/>
    <n v="1014.33"/>
    <x v="0"/>
  </r>
  <r>
    <s v="CUST0837"/>
    <s v="Male"/>
    <s v="No"/>
    <s v="Yes"/>
    <s v="No"/>
    <x v="3"/>
    <x v="2"/>
    <x v="1"/>
    <x v="1"/>
    <n v="53.43"/>
    <n v="3033.72"/>
    <x v="0"/>
  </r>
  <r>
    <s v="CUST0838"/>
    <s v="Male"/>
    <s v="No"/>
    <s v="No"/>
    <s v="Yes"/>
    <x v="71"/>
    <x v="2"/>
    <x v="2"/>
    <x v="1"/>
    <n v="56.8"/>
    <n v="1705.41"/>
    <x v="0"/>
  </r>
  <r>
    <s v="CUST0839"/>
    <s v="Female"/>
    <s v="Yes"/>
    <s v="Yes"/>
    <s v="No"/>
    <x v="26"/>
    <x v="0"/>
    <x v="0"/>
    <x v="1"/>
    <n v="72.23"/>
    <n v="992.65"/>
    <x v="0"/>
  </r>
  <r>
    <s v="CUST0840"/>
    <s v="Male"/>
    <s v="Yes"/>
    <s v="No"/>
    <s v="No"/>
    <x v="52"/>
    <x v="1"/>
    <x v="2"/>
    <x v="0"/>
    <n v="49.78"/>
    <n v="1219.1600000000001"/>
    <x v="0"/>
  </r>
  <r>
    <s v="CUST0841"/>
    <s v="Male"/>
    <s v="No"/>
    <s v="No"/>
    <s v="No"/>
    <x v="46"/>
    <x v="1"/>
    <x v="0"/>
    <x v="0"/>
    <n v="82.1"/>
    <n v="2711.06"/>
    <x v="0"/>
  </r>
  <r>
    <s v="CUST0842"/>
    <s v="Female"/>
    <s v="No"/>
    <s v="Yes"/>
    <s v="No"/>
    <x v="4"/>
    <x v="1"/>
    <x v="0"/>
    <x v="1"/>
    <n v="64.989999999999995"/>
    <n v="4442.3900000000003"/>
    <x v="0"/>
  </r>
  <r>
    <s v="CUST0843"/>
    <s v="Male"/>
    <s v="No"/>
    <s v="Yes"/>
    <s v="No"/>
    <x v="29"/>
    <x v="2"/>
    <x v="2"/>
    <x v="1"/>
    <n v="40.85"/>
    <n v="980.96"/>
    <x v="0"/>
  </r>
  <r>
    <s v="CUST0844"/>
    <s v="Male"/>
    <s v="No"/>
    <s v="No"/>
    <s v="No"/>
    <x v="47"/>
    <x v="0"/>
    <x v="0"/>
    <x v="1"/>
    <n v="94.84"/>
    <n v="6761.2"/>
    <x v="0"/>
  </r>
  <r>
    <s v="CUST0845"/>
    <s v="Male"/>
    <s v="No"/>
    <s v="No"/>
    <s v="No"/>
    <x v="42"/>
    <x v="0"/>
    <x v="0"/>
    <x v="1"/>
    <n v="95.68"/>
    <n v="2309.7600000000002"/>
    <x v="0"/>
  </r>
  <r>
    <s v="CUST0846"/>
    <s v="Male"/>
    <s v="No"/>
    <s v="No"/>
    <s v="No"/>
    <x v="27"/>
    <x v="1"/>
    <x v="2"/>
    <x v="2"/>
    <n v="97.79"/>
    <n v="1779.04"/>
    <x v="0"/>
  </r>
  <r>
    <s v="CUST0847"/>
    <s v="Female"/>
    <s v="No"/>
    <s v="No"/>
    <s v="No"/>
    <x v="70"/>
    <x v="2"/>
    <x v="0"/>
    <x v="1"/>
    <n v="54.39"/>
    <n v="3465.73"/>
    <x v="0"/>
  </r>
  <r>
    <s v="CUST0848"/>
    <s v="Female"/>
    <s v="No"/>
    <s v="No"/>
    <s v="Yes"/>
    <x v="37"/>
    <x v="1"/>
    <x v="2"/>
    <x v="0"/>
    <n v="57.98"/>
    <n v="494.5"/>
    <x v="0"/>
  </r>
  <r>
    <s v="CUST0849"/>
    <s v="Male"/>
    <s v="No"/>
    <s v="Yes"/>
    <s v="No"/>
    <x v="4"/>
    <x v="1"/>
    <x v="0"/>
    <x v="2"/>
    <n v="85.76"/>
    <n v="5686.82"/>
    <x v="0"/>
  </r>
  <r>
    <s v="CUST0850"/>
    <s v="Female"/>
    <s v="Yes"/>
    <s v="Yes"/>
    <s v="No"/>
    <x v="29"/>
    <x v="1"/>
    <x v="0"/>
    <x v="3"/>
    <n v="67.45"/>
    <n v="1626.26"/>
    <x v="1"/>
  </r>
  <r>
    <s v="CUST0851"/>
    <s v="Male"/>
    <s v="No"/>
    <s v="No"/>
    <s v="No"/>
    <x v="9"/>
    <x v="0"/>
    <x v="0"/>
    <x v="3"/>
    <n v="94.27"/>
    <n v="539.38"/>
    <x v="0"/>
  </r>
  <r>
    <s v="CUST0852"/>
    <s v="Female"/>
    <s v="No"/>
    <s v="Yes"/>
    <s v="Yes"/>
    <x v="4"/>
    <x v="1"/>
    <x v="2"/>
    <x v="2"/>
    <n v="82.45"/>
    <n v="5416.22"/>
    <x v="0"/>
  </r>
  <r>
    <s v="CUST0853"/>
    <s v="Male"/>
    <s v="No"/>
    <s v="Yes"/>
    <s v="Yes"/>
    <x v="32"/>
    <x v="2"/>
    <x v="0"/>
    <x v="1"/>
    <n v="91.98"/>
    <n v="5130.18"/>
    <x v="0"/>
  </r>
  <r>
    <s v="CUST0854"/>
    <s v="Male"/>
    <s v="No"/>
    <s v="Yes"/>
    <s v="No"/>
    <x v="10"/>
    <x v="1"/>
    <x v="0"/>
    <x v="2"/>
    <n v="116.49"/>
    <n v="3172.13"/>
    <x v="0"/>
  </r>
  <r>
    <s v="CUST0855"/>
    <s v="Male"/>
    <s v="No"/>
    <s v="No"/>
    <s v="Yes"/>
    <x v="59"/>
    <x v="0"/>
    <x v="0"/>
    <x v="2"/>
    <n v="96.1"/>
    <n v="1228.83"/>
    <x v="1"/>
  </r>
  <r>
    <s v="CUST0856"/>
    <s v="Male"/>
    <s v="No"/>
    <s v="Yes"/>
    <s v="No"/>
    <x v="38"/>
    <x v="1"/>
    <x v="0"/>
    <x v="1"/>
    <n v="83.85"/>
    <n v="2731.19"/>
    <x v="1"/>
  </r>
  <r>
    <s v="CUST0857"/>
    <s v="Male"/>
    <s v="No"/>
    <s v="No"/>
    <s v="Yes"/>
    <x v="8"/>
    <x v="1"/>
    <x v="0"/>
    <x v="0"/>
    <n v="75.16"/>
    <n v="4049.64"/>
    <x v="0"/>
  </r>
  <r>
    <s v="CUST0858"/>
    <s v="Male"/>
    <s v="No"/>
    <s v="Yes"/>
    <s v="Yes"/>
    <x v="72"/>
    <x v="2"/>
    <x v="2"/>
    <x v="3"/>
    <n v="66.900000000000006"/>
    <n v="2962"/>
    <x v="0"/>
  </r>
  <r>
    <s v="CUST0859"/>
    <s v="Female"/>
    <s v="No"/>
    <s v="No"/>
    <s v="Yes"/>
    <x v="42"/>
    <x v="0"/>
    <x v="2"/>
    <x v="0"/>
    <n v="43.39"/>
    <n v="1123.54"/>
    <x v="0"/>
  </r>
  <r>
    <s v="CUST0860"/>
    <s v="Male"/>
    <s v="No"/>
    <s v="Yes"/>
    <s v="Yes"/>
    <x v="21"/>
    <x v="0"/>
    <x v="2"/>
    <x v="1"/>
    <n v="25.86"/>
    <n v="1185.57"/>
    <x v="0"/>
  </r>
  <r>
    <s v="CUST0861"/>
    <s v="Female"/>
    <s v="No"/>
    <s v="No"/>
    <s v="No"/>
    <x v="46"/>
    <x v="2"/>
    <x v="2"/>
    <x v="1"/>
    <n v="81.59"/>
    <n v="2673.33"/>
    <x v="0"/>
  </r>
  <r>
    <s v="CUST0862"/>
    <s v="Male"/>
    <s v="No"/>
    <s v="No"/>
    <s v="Yes"/>
    <x v="18"/>
    <x v="0"/>
    <x v="0"/>
    <x v="0"/>
    <n v="110.59"/>
    <n v="5366.84"/>
    <x v="0"/>
  </r>
  <r>
    <s v="CUST0863"/>
    <s v="Female"/>
    <s v="No"/>
    <s v="Yes"/>
    <s v="No"/>
    <x v="7"/>
    <x v="1"/>
    <x v="2"/>
    <x v="1"/>
    <n v="61.75"/>
    <n v="656.61"/>
    <x v="1"/>
  </r>
  <r>
    <s v="CUST0864"/>
    <s v="Female"/>
    <s v="No"/>
    <s v="No"/>
    <s v="No"/>
    <x v="60"/>
    <x v="0"/>
    <x v="2"/>
    <x v="2"/>
    <n v="109.68"/>
    <n v="325.25"/>
    <x v="1"/>
  </r>
  <r>
    <s v="CUST0865"/>
    <s v="Female"/>
    <s v="No"/>
    <s v="No"/>
    <s v="No"/>
    <x v="48"/>
    <x v="1"/>
    <x v="2"/>
    <x v="2"/>
    <n v="65.59"/>
    <n v="2972.77"/>
    <x v="0"/>
  </r>
  <r>
    <s v="CUST0866"/>
    <s v="Male"/>
    <s v="Yes"/>
    <s v="No"/>
    <s v="No"/>
    <x v="44"/>
    <x v="1"/>
    <x v="2"/>
    <x v="1"/>
    <n v="21.16"/>
    <n v="1077.02"/>
    <x v="0"/>
  </r>
  <r>
    <s v="CUST0867"/>
    <s v="Male"/>
    <s v="No"/>
    <s v="No"/>
    <s v="No"/>
    <x v="56"/>
    <x v="1"/>
    <x v="2"/>
    <x v="3"/>
    <n v="92.96"/>
    <n v="46.48"/>
    <x v="1"/>
  </r>
  <r>
    <s v="CUST0868"/>
    <s v="Female"/>
    <s v="No"/>
    <s v="No"/>
    <s v="No"/>
    <x v="20"/>
    <x v="0"/>
    <x v="2"/>
    <x v="0"/>
    <n v="58.02"/>
    <n v="3777.53"/>
    <x v="0"/>
  </r>
  <r>
    <s v="CUST0869"/>
    <s v="Male"/>
    <s v="No"/>
    <s v="No"/>
    <s v="Yes"/>
    <x v="45"/>
    <x v="0"/>
    <x v="0"/>
    <x v="1"/>
    <n v="105.22"/>
    <n v="3057.63"/>
    <x v="0"/>
  </r>
  <r>
    <s v="CUST0870"/>
    <s v="Female"/>
    <s v="No"/>
    <s v="No"/>
    <s v="No"/>
    <x v="36"/>
    <x v="1"/>
    <x v="0"/>
    <x v="2"/>
    <n v="48.06"/>
    <n v="238.4"/>
    <x v="1"/>
  </r>
  <r>
    <s v="CUST0871"/>
    <s v="Male"/>
    <s v="No"/>
    <s v="No"/>
    <s v="No"/>
    <x v="51"/>
    <x v="0"/>
    <x v="2"/>
    <x v="2"/>
    <n v="80.3"/>
    <n v="1636.04"/>
    <x v="0"/>
  </r>
  <r>
    <s v="CUST0872"/>
    <s v="Female"/>
    <s v="No"/>
    <s v="Yes"/>
    <s v="No"/>
    <x v="34"/>
    <x v="2"/>
    <x v="0"/>
    <x v="2"/>
    <n v="59.99"/>
    <n v="2835.04"/>
    <x v="0"/>
  </r>
  <r>
    <s v="CUST0873"/>
    <s v="Female"/>
    <s v="No"/>
    <s v="Yes"/>
    <s v="No"/>
    <x v="17"/>
    <x v="1"/>
    <x v="2"/>
    <x v="3"/>
    <n v="75.040000000000006"/>
    <n v="4561.41"/>
    <x v="0"/>
  </r>
  <r>
    <s v="CUST0874"/>
    <s v="Male"/>
    <s v="No"/>
    <s v="No"/>
    <s v="No"/>
    <x v="40"/>
    <x v="1"/>
    <x v="2"/>
    <x v="2"/>
    <n v="89.17"/>
    <n v="3338.24"/>
    <x v="0"/>
  </r>
  <r>
    <s v="CUST0875"/>
    <s v="Female"/>
    <s v="No"/>
    <s v="No"/>
    <s v="No"/>
    <x v="59"/>
    <x v="0"/>
    <x v="2"/>
    <x v="3"/>
    <n v="83.36"/>
    <n v="1185.25"/>
    <x v="0"/>
  </r>
  <r>
    <s v="CUST0876"/>
    <s v="Male"/>
    <s v="No"/>
    <s v="Yes"/>
    <s v="No"/>
    <x v="64"/>
    <x v="1"/>
    <x v="0"/>
    <x v="0"/>
    <n v="81.73"/>
    <n v="4214.49"/>
    <x v="0"/>
  </r>
  <r>
    <s v="CUST0877"/>
    <s v="Female"/>
    <s v="No"/>
    <s v="Yes"/>
    <s v="No"/>
    <x v="57"/>
    <x v="0"/>
    <x v="0"/>
    <x v="2"/>
    <n v="45.54"/>
    <n v="2079.46"/>
    <x v="0"/>
  </r>
  <r>
    <s v="CUST0878"/>
    <s v="Female"/>
    <s v="No"/>
    <s v="Yes"/>
    <s v="Yes"/>
    <x v="52"/>
    <x v="1"/>
    <x v="2"/>
    <x v="3"/>
    <n v="88.26"/>
    <n v="2098.0300000000002"/>
    <x v="0"/>
  </r>
  <r>
    <s v="CUST0879"/>
    <s v="Male"/>
    <s v="No"/>
    <s v="No"/>
    <s v="No"/>
    <x v="51"/>
    <x v="1"/>
    <x v="2"/>
    <x v="2"/>
    <n v="95.79"/>
    <n v="1872.94"/>
    <x v="1"/>
  </r>
  <r>
    <s v="CUST0880"/>
    <s v="Male"/>
    <s v="No"/>
    <s v="Yes"/>
    <s v="Yes"/>
    <x v="9"/>
    <x v="0"/>
    <x v="1"/>
    <x v="1"/>
    <n v="28.93"/>
    <n v="68.56"/>
    <x v="0"/>
  </r>
  <r>
    <s v="CUST0881"/>
    <s v="Male"/>
    <s v="No"/>
    <s v="No"/>
    <s v="No"/>
    <x v="49"/>
    <x v="0"/>
    <x v="2"/>
    <x v="0"/>
    <n v="47.6"/>
    <n v="3210.38"/>
    <x v="0"/>
  </r>
  <r>
    <s v="CUST0882"/>
    <s v="Female"/>
    <s v="No"/>
    <s v="No"/>
    <s v="No"/>
    <x v="21"/>
    <x v="2"/>
    <x v="2"/>
    <x v="2"/>
    <n v="96.84"/>
    <n v="4368.07"/>
    <x v="0"/>
  </r>
  <r>
    <s v="CUST0883"/>
    <s v="Male"/>
    <s v="No"/>
    <s v="Yes"/>
    <s v="Yes"/>
    <x v="23"/>
    <x v="2"/>
    <x v="1"/>
    <x v="1"/>
    <n v="49.79"/>
    <n v="3483.01"/>
    <x v="0"/>
  </r>
  <r>
    <s v="CUST0884"/>
    <s v="Female"/>
    <s v="No"/>
    <s v="No"/>
    <s v="Yes"/>
    <x v="68"/>
    <x v="0"/>
    <x v="0"/>
    <x v="3"/>
    <n v="58.25"/>
    <n v="1000.23"/>
    <x v="1"/>
  </r>
  <r>
    <s v="CUST0885"/>
    <s v="Female"/>
    <s v="No"/>
    <s v="No"/>
    <s v="Yes"/>
    <x v="51"/>
    <x v="0"/>
    <x v="0"/>
    <x v="1"/>
    <n v="86.81"/>
    <n v="1723.78"/>
    <x v="1"/>
  </r>
  <r>
    <s v="CUST0886"/>
    <s v="Male"/>
    <s v="No"/>
    <s v="No"/>
    <s v="No"/>
    <x v="63"/>
    <x v="1"/>
    <x v="0"/>
    <x v="1"/>
    <n v="64.040000000000006"/>
    <n v="1369.21"/>
    <x v="1"/>
  </r>
  <r>
    <s v="CUST0887"/>
    <s v="Male"/>
    <s v="No"/>
    <s v="No"/>
    <s v="No"/>
    <x v="70"/>
    <x v="1"/>
    <x v="2"/>
    <x v="3"/>
    <n v="74.03"/>
    <n v="4698.2"/>
    <x v="0"/>
  </r>
  <r>
    <s v="CUST0888"/>
    <s v="Female"/>
    <s v="Yes"/>
    <s v="Yes"/>
    <s v="No"/>
    <x v="4"/>
    <x v="1"/>
    <x v="2"/>
    <x v="0"/>
    <n v="59.67"/>
    <n v="4034.51"/>
    <x v="0"/>
  </r>
  <r>
    <s v="CUST0889"/>
    <s v="Female"/>
    <s v="No"/>
    <s v="Yes"/>
    <s v="No"/>
    <x v="62"/>
    <x v="2"/>
    <x v="0"/>
    <x v="1"/>
    <n v="71.81"/>
    <n v="2858.45"/>
    <x v="1"/>
  </r>
  <r>
    <s v="CUST0890"/>
    <s v="Male"/>
    <s v="No"/>
    <s v="No"/>
    <s v="No"/>
    <x v="37"/>
    <x v="1"/>
    <x v="2"/>
    <x v="2"/>
    <n v="97.76"/>
    <n v="953.57"/>
    <x v="0"/>
  </r>
  <r>
    <s v="CUST0891"/>
    <s v="Male"/>
    <s v="No"/>
    <s v="No"/>
    <s v="No"/>
    <x v="64"/>
    <x v="0"/>
    <x v="0"/>
    <x v="2"/>
    <n v="20"/>
    <n v="973.08"/>
    <x v="0"/>
  </r>
  <r>
    <s v="CUST0892"/>
    <s v="Male"/>
    <s v="Yes"/>
    <s v="Yes"/>
    <s v="No"/>
    <x v="1"/>
    <x v="1"/>
    <x v="1"/>
    <x v="1"/>
    <n v="68.87"/>
    <n v="4889.4399999999996"/>
    <x v="0"/>
  </r>
  <r>
    <s v="CUST0893"/>
    <s v="Male"/>
    <s v="No"/>
    <s v="No"/>
    <s v="No"/>
    <x v="65"/>
    <x v="0"/>
    <x v="1"/>
    <x v="3"/>
    <n v="78.64"/>
    <n v="4672.53"/>
    <x v="0"/>
  </r>
  <r>
    <s v="CUST0894"/>
    <s v="Male"/>
    <s v="No"/>
    <s v="Yes"/>
    <s v="No"/>
    <x v="70"/>
    <x v="2"/>
    <x v="2"/>
    <x v="0"/>
    <n v="54.45"/>
    <n v="3438.91"/>
    <x v="0"/>
  </r>
  <r>
    <s v="CUST0895"/>
    <s v="Female"/>
    <s v="No"/>
    <s v="No"/>
    <s v="Yes"/>
    <x v="9"/>
    <x v="1"/>
    <x v="0"/>
    <x v="0"/>
    <n v="103.44"/>
    <n v="515.57000000000005"/>
    <x v="0"/>
  </r>
  <r>
    <s v="CUST0896"/>
    <s v="Female"/>
    <s v="No"/>
    <s v="No"/>
    <s v="No"/>
    <x v="8"/>
    <x v="2"/>
    <x v="0"/>
    <x v="0"/>
    <n v="56.02"/>
    <n v="2948.19"/>
    <x v="0"/>
  </r>
  <r>
    <s v="CUST0897"/>
    <s v="Female"/>
    <s v="No"/>
    <s v="Yes"/>
    <s v="No"/>
    <x v="44"/>
    <x v="1"/>
    <x v="1"/>
    <x v="2"/>
    <n v="38.5"/>
    <n v="2209.14"/>
    <x v="0"/>
  </r>
  <r>
    <s v="CUST0898"/>
    <s v="Female"/>
    <s v="No"/>
    <s v="Yes"/>
    <s v="Yes"/>
    <x v="67"/>
    <x v="1"/>
    <x v="2"/>
    <x v="1"/>
    <n v="50.62"/>
    <n v="1799.24"/>
    <x v="0"/>
  </r>
  <r>
    <s v="CUST0899"/>
    <s v="Male"/>
    <s v="No"/>
    <s v="Yes"/>
    <s v="No"/>
    <x v="3"/>
    <x v="2"/>
    <x v="2"/>
    <x v="1"/>
    <n v="93.78"/>
    <n v="5093.34"/>
    <x v="0"/>
  </r>
  <r>
    <s v="CUST0900"/>
    <s v="Male"/>
    <s v="No"/>
    <s v="Yes"/>
    <s v="Yes"/>
    <x v="15"/>
    <x v="1"/>
    <x v="2"/>
    <x v="0"/>
    <n v="26.38"/>
    <n v="1571.01"/>
    <x v="0"/>
  </r>
  <r>
    <s v="CUST0901"/>
    <s v="Male"/>
    <s v="No"/>
    <s v="No"/>
    <s v="Yes"/>
    <x v="14"/>
    <x v="2"/>
    <x v="2"/>
    <x v="3"/>
    <n v="111"/>
    <n v="7557.51"/>
    <x v="0"/>
  </r>
  <r>
    <s v="CUST0902"/>
    <s v="Female"/>
    <s v="No"/>
    <s v="Yes"/>
    <s v="No"/>
    <x v="47"/>
    <x v="1"/>
    <x v="2"/>
    <x v="1"/>
    <n v="62.38"/>
    <n v="4517.18"/>
    <x v="0"/>
  </r>
  <r>
    <s v="CUST0903"/>
    <s v="Female"/>
    <s v="Yes"/>
    <s v="No"/>
    <s v="Yes"/>
    <x v="15"/>
    <x v="1"/>
    <x v="0"/>
    <x v="2"/>
    <n v="95.37"/>
    <n v="5545.32"/>
    <x v="0"/>
  </r>
  <r>
    <s v="CUST0904"/>
    <s v="Male"/>
    <s v="No"/>
    <s v="Yes"/>
    <s v="No"/>
    <x v="39"/>
    <x v="2"/>
    <x v="0"/>
    <x v="3"/>
    <n v="93.22"/>
    <n v="54.47"/>
    <x v="0"/>
  </r>
  <r>
    <s v="CUST0905"/>
    <s v="Male"/>
    <s v="No"/>
    <s v="Yes"/>
    <s v="No"/>
    <x v="50"/>
    <x v="1"/>
    <x v="2"/>
    <x v="1"/>
    <n v="73.78"/>
    <n v="4737.58"/>
    <x v="0"/>
  </r>
  <r>
    <s v="CUST0906"/>
    <s v="Female"/>
    <s v="No"/>
    <s v="No"/>
    <s v="Yes"/>
    <x v="66"/>
    <x v="2"/>
    <x v="0"/>
    <x v="1"/>
    <n v="64.98"/>
    <n v="3911.69"/>
    <x v="0"/>
  </r>
  <r>
    <s v="CUST0907"/>
    <s v="Female"/>
    <s v="No"/>
    <s v="Yes"/>
    <s v="No"/>
    <x v="6"/>
    <x v="2"/>
    <x v="2"/>
    <x v="1"/>
    <n v="101.06"/>
    <n v="5139.09"/>
    <x v="0"/>
  </r>
  <r>
    <s v="CUST0908"/>
    <s v="Male"/>
    <s v="No"/>
    <s v="Yes"/>
    <s v="Yes"/>
    <x v="45"/>
    <x v="1"/>
    <x v="1"/>
    <x v="2"/>
    <n v="42.13"/>
    <n v="1182.6099999999999"/>
    <x v="0"/>
  </r>
  <r>
    <s v="CUST0909"/>
    <s v="Male"/>
    <s v="No"/>
    <s v="Yes"/>
    <s v="No"/>
    <x v="69"/>
    <x v="1"/>
    <x v="1"/>
    <x v="1"/>
    <n v="36.72"/>
    <n v="385.68"/>
    <x v="0"/>
  </r>
  <r>
    <s v="CUST0910"/>
    <s v="Female"/>
    <s v="No"/>
    <s v="Yes"/>
    <s v="No"/>
    <x v="22"/>
    <x v="1"/>
    <x v="1"/>
    <x v="0"/>
    <n v="76.94"/>
    <n v="3041.89"/>
    <x v="0"/>
  </r>
  <r>
    <s v="CUST0911"/>
    <s v="Male"/>
    <s v="No"/>
    <s v="No"/>
    <s v="Yes"/>
    <x v="1"/>
    <x v="1"/>
    <x v="1"/>
    <x v="0"/>
    <n v="58.64"/>
    <n v="4126.01"/>
    <x v="0"/>
  </r>
  <r>
    <s v="CUST0912"/>
    <s v="Male"/>
    <s v="Yes"/>
    <s v="No"/>
    <s v="Yes"/>
    <x v="30"/>
    <x v="1"/>
    <x v="2"/>
    <x v="2"/>
    <n v="103.95"/>
    <n v="6392.94"/>
    <x v="0"/>
  </r>
  <r>
    <s v="CUST0913"/>
    <s v="Male"/>
    <s v="No"/>
    <s v="Yes"/>
    <s v="No"/>
    <x v="70"/>
    <x v="1"/>
    <x v="2"/>
    <x v="1"/>
    <n v="68.430000000000007"/>
    <n v="4374.6400000000003"/>
    <x v="0"/>
  </r>
  <r>
    <s v="CUST0914"/>
    <s v="Female"/>
    <s v="Yes"/>
    <s v="Yes"/>
    <s v="No"/>
    <x v="65"/>
    <x v="1"/>
    <x v="0"/>
    <x v="0"/>
    <n v="63.73"/>
    <n v="3873.32"/>
    <x v="0"/>
  </r>
  <r>
    <s v="CUST0915"/>
    <s v="Female"/>
    <s v="No"/>
    <s v="Yes"/>
    <s v="Yes"/>
    <x v="25"/>
    <x v="1"/>
    <x v="1"/>
    <x v="2"/>
    <n v="61.87"/>
    <n v="3212.15"/>
    <x v="0"/>
  </r>
  <r>
    <s v="CUST0916"/>
    <s v="Female"/>
    <s v="No"/>
    <s v="No"/>
    <s v="No"/>
    <x v="47"/>
    <x v="2"/>
    <x v="2"/>
    <x v="3"/>
    <n v="58.81"/>
    <n v="4122.3599999999997"/>
    <x v="0"/>
  </r>
  <r>
    <s v="CUST0917"/>
    <s v="Female"/>
    <s v="Yes"/>
    <s v="No"/>
    <s v="No"/>
    <x v="32"/>
    <x v="2"/>
    <x v="2"/>
    <x v="3"/>
    <n v="54.45"/>
    <n v="3120.57"/>
    <x v="0"/>
  </r>
  <r>
    <s v="CUST0918"/>
    <s v="Female"/>
    <s v="Yes"/>
    <s v="No"/>
    <s v="No"/>
    <x v="3"/>
    <x v="0"/>
    <x v="0"/>
    <x v="0"/>
    <n v="100.8"/>
    <n v="5510.51"/>
    <x v="0"/>
  </r>
  <r>
    <s v="CUST0919"/>
    <s v="Female"/>
    <s v="No"/>
    <s v="No"/>
    <s v="No"/>
    <x v="46"/>
    <x v="1"/>
    <x v="2"/>
    <x v="0"/>
    <n v="115.79"/>
    <n v="3686.34"/>
    <x v="0"/>
  </r>
  <r>
    <s v="CUST0920"/>
    <s v="Female"/>
    <s v="No"/>
    <s v="Yes"/>
    <s v="No"/>
    <x v="71"/>
    <x v="2"/>
    <x v="0"/>
    <x v="1"/>
    <n v="73.84"/>
    <n v="2160.2199999999998"/>
    <x v="0"/>
  </r>
  <r>
    <s v="CUST0921"/>
    <s v="Male"/>
    <s v="No"/>
    <s v="Yes"/>
    <s v="No"/>
    <x v="64"/>
    <x v="1"/>
    <x v="0"/>
    <x v="1"/>
    <n v="55.63"/>
    <n v="2885.34"/>
    <x v="0"/>
  </r>
  <r>
    <s v="CUST0922"/>
    <s v="Male"/>
    <s v="No"/>
    <s v="Yes"/>
    <s v="No"/>
    <x v="56"/>
    <x v="0"/>
    <x v="2"/>
    <x v="1"/>
    <n v="66.16"/>
    <n v="33.08"/>
    <x v="0"/>
  </r>
  <r>
    <s v="CUST0923"/>
    <s v="Male"/>
    <s v="Yes"/>
    <s v="No"/>
    <s v="No"/>
    <x v="44"/>
    <x v="2"/>
    <x v="2"/>
    <x v="2"/>
    <n v="82.87"/>
    <n v="4600.2700000000004"/>
    <x v="0"/>
  </r>
  <r>
    <s v="CUST0924"/>
    <s v="Male"/>
    <s v="Yes"/>
    <s v="Yes"/>
    <s v="Yes"/>
    <x v="41"/>
    <x v="1"/>
    <x v="0"/>
    <x v="1"/>
    <n v="86.44"/>
    <n v="1648.26"/>
    <x v="1"/>
  </r>
  <r>
    <s v="CUST0925"/>
    <s v="Male"/>
    <s v="No"/>
    <s v="No"/>
    <s v="No"/>
    <x v="62"/>
    <x v="0"/>
    <x v="0"/>
    <x v="1"/>
    <n v="109.86"/>
    <n v="4391.58"/>
    <x v="0"/>
  </r>
  <r>
    <s v="CUST0926"/>
    <s v="Male"/>
    <s v="No"/>
    <s v="No"/>
    <s v="No"/>
    <x v="56"/>
    <x v="2"/>
    <x v="1"/>
    <x v="3"/>
    <n v="71.63"/>
    <n v="35.814999999999998"/>
    <x v="0"/>
  </r>
  <r>
    <s v="CUST0927"/>
    <s v="Male"/>
    <s v="Yes"/>
    <s v="Yes"/>
    <s v="No"/>
    <x v="50"/>
    <x v="2"/>
    <x v="2"/>
    <x v="1"/>
    <n v="42.41"/>
    <n v="2675.17"/>
    <x v="0"/>
  </r>
  <r>
    <s v="CUST0928"/>
    <s v="Female"/>
    <s v="No"/>
    <s v="Yes"/>
    <s v="No"/>
    <x v="30"/>
    <x v="0"/>
    <x v="2"/>
    <x v="1"/>
    <n v="57.67"/>
    <n v="3451.44"/>
    <x v="0"/>
  </r>
  <r>
    <s v="CUST0929"/>
    <s v="Female"/>
    <s v="No"/>
    <s v="Yes"/>
    <s v="No"/>
    <x v="25"/>
    <x v="1"/>
    <x v="0"/>
    <x v="1"/>
    <n v="45.48"/>
    <n v="2447.65"/>
    <x v="0"/>
  </r>
  <r>
    <s v="CUST0930"/>
    <s v="Male"/>
    <s v="No"/>
    <s v="No"/>
    <s v="No"/>
    <x v="61"/>
    <x v="1"/>
    <x v="0"/>
    <x v="2"/>
    <n v="108.62"/>
    <n v="4307.28"/>
    <x v="0"/>
  </r>
  <r>
    <s v="CUST0931"/>
    <s v="Male"/>
    <s v="No"/>
    <s v="No"/>
    <s v="No"/>
    <x v="51"/>
    <x v="1"/>
    <x v="2"/>
    <x v="2"/>
    <n v="20.2"/>
    <n v="469.43"/>
    <x v="0"/>
  </r>
  <r>
    <s v="CUST0932"/>
    <s v="Female"/>
    <s v="No"/>
    <s v="Yes"/>
    <s v="No"/>
    <x v="41"/>
    <x v="0"/>
    <x v="0"/>
    <x v="0"/>
    <n v="47.92"/>
    <n v="885.25"/>
    <x v="0"/>
  </r>
  <r>
    <s v="CUST0933"/>
    <s v="Male"/>
    <s v="No"/>
    <s v="Yes"/>
    <s v="Yes"/>
    <x v="40"/>
    <x v="1"/>
    <x v="2"/>
    <x v="0"/>
    <n v="57.2"/>
    <n v="2007.94"/>
    <x v="1"/>
  </r>
  <r>
    <s v="CUST0934"/>
    <s v="Male"/>
    <s v="No"/>
    <s v="No"/>
    <s v="No"/>
    <x v="31"/>
    <x v="2"/>
    <x v="2"/>
    <x v="2"/>
    <n v="84.1"/>
    <n v="493.4"/>
    <x v="0"/>
  </r>
  <r>
    <s v="CUST0935"/>
    <s v="Female"/>
    <s v="Yes"/>
    <s v="Yes"/>
    <s v="No"/>
    <x v="17"/>
    <x v="1"/>
    <x v="2"/>
    <x v="3"/>
    <n v="56.96"/>
    <n v="3417.28"/>
    <x v="0"/>
  </r>
  <r>
    <s v="CUST0936"/>
    <s v="Male"/>
    <s v="Yes"/>
    <s v="No"/>
    <s v="Yes"/>
    <x v="21"/>
    <x v="1"/>
    <x v="0"/>
    <x v="3"/>
    <n v="70.87"/>
    <n v="3335.39"/>
    <x v="0"/>
  </r>
  <r>
    <s v="CUST0937"/>
    <s v="Female"/>
    <s v="No"/>
    <s v="No"/>
    <s v="No"/>
    <x v="11"/>
    <x v="1"/>
    <x v="0"/>
    <x v="3"/>
    <n v="71.36"/>
    <n v="1262.08"/>
    <x v="0"/>
  </r>
  <r>
    <s v="CUST0938"/>
    <s v="Male"/>
    <s v="No"/>
    <s v="Yes"/>
    <s v="No"/>
    <x v="11"/>
    <x v="0"/>
    <x v="0"/>
    <x v="0"/>
    <n v="84.32"/>
    <n v="1300.1099999999999"/>
    <x v="0"/>
  </r>
  <r>
    <s v="CUST0939"/>
    <s v="Female"/>
    <s v="No"/>
    <s v="Yes"/>
    <s v="No"/>
    <x v="24"/>
    <x v="1"/>
    <x v="0"/>
    <x v="1"/>
    <n v="49.49"/>
    <n v="590.15"/>
    <x v="1"/>
  </r>
  <r>
    <s v="CUST0940"/>
    <s v="Female"/>
    <s v="No"/>
    <s v="Yes"/>
    <s v="Yes"/>
    <x v="11"/>
    <x v="1"/>
    <x v="1"/>
    <x v="1"/>
    <n v="31.32"/>
    <n v="540.30999999999995"/>
    <x v="0"/>
  </r>
  <r>
    <s v="CUST0941"/>
    <s v="Female"/>
    <s v="No"/>
    <s v="Yes"/>
    <s v="Yes"/>
    <x v="40"/>
    <x v="1"/>
    <x v="2"/>
    <x v="1"/>
    <n v="112.02"/>
    <n v="4118.3999999999996"/>
    <x v="0"/>
  </r>
  <r>
    <s v="CUST0942"/>
    <s v="Male"/>
    <s v="Yes"/>
    <s v="No"/>
    <s v="No"/>
    <x v="53"/>
    <x v="1"/>
    <x v="2"/>
    <x v="2"/>
    <n v="80.06"/>
    <n v="3558.7"/>
    <x v="0"/>
  </r>
  <r>
    <s v="CUST0943"/>
    <s v="Female"/>
    <s v="No"/>
    <s v="No"/>
    <s v="Yes"/>
    <x v="12"/>
    <x v="1"/>
    <x v="2"/>
    <x v="3"/>
    <n v="89.02"/>
    <n v="444.77"/>
    <x v="0"/>
  </r>
  <r>
    <s v="CUST0944"/>
    <s v="Male"/>
    <s v="No"/>
    <s v="No"/>
    <s v="No"/>
    <x v="38"/>
    <x v="2"/>
    <x v="2"/>
    <x v="0"/>
    <n v="71.45"/>
    <n v="2409.02"/>
    <x v="1"/>
  </r>
  <r>
    <s v="CUST0945"/>
    <s v="Male"/>
    <s v="No"/>
    <s v="Yes"/>
    <s v="No"/>
    <x v="26"/>
    <x v="1"/>
    <x v="0"/>
    <x v="1"/>
    <n v="76.489999999999995"/>
    <n v="880.78"/>
    <x v="1"/>
  </r>
  <r>
    <s v="CUST0946"/>
    <s v="Male"/>
    <s v="No"/>
    <s v="No"/>
    <s v="Yes"/>
    <x v="1"/>
    <x v="1"/>
    <x v="0"/>
    <x v="0"/>
    <n v="91.43"/>
    <n v="6503.45"/>
    <x v="1"/>
  </r>
  <r>
    <s v="CUST0947"/>
    <s v="Male"/>
    <s v="No"/>
    <s v="Yes"/>
    <s v="No"/>
    <x v="65"/>
    <x v="2"/>
    <x v="0"/>
    <x v="3"/>
    <n v="98.19"/>
    <n v="5968.07"/>
    <x v="0"/>
  </r>
  <r>
    <s v="CUST0948"/>
    <s v="Female"/>
    <s v="No"/>
    <s v="Yes"/>
    <s v="No"/>
    <x v="59"/>
    <x v="2"/>
    <x v="2"/>
    <x v="2"/>
    <n v="91.15"/>
    <n v="1213.8399999999999"/>
    <x v="0"/>
  </r>
  <r>
    <s v="CUST0949"/>
    <s v="Female"/>
    <s v="No"/>
    <s v="Yes"/>
    <s v="No"/>
    <x v="25"/>
    <x v="0"/>
    <x v="2"/>
    <x v="3"/>
    <n v="66.84"/>
    <n v="3385.06"/>
    <x v="0"/>
  </r>
  <r>
    <s v="CUST0950"/>
    <s v="Male"/>
    <s v="No"/>
    <s v="Yes"/>
    <s v="No"/>
    <x v="10"/>
    <x v="1"/>
    <x v="0"/>
    <x v="3"/>
    <n v="103.88"/>
    <n v="2675.32"/>
    <x v="1"/>
  </r>
  <r>
    <s v="CUST0951"/>
    <s v="Male"/>
    <s v="No"/>
    <s v="Yes"/>
    <s v="No"/>
    <x v="24"/>
    <x v="2"/>
    <x v="2"/>
    <x v="3"/>
    <n v="20"/>
    <n v="360.78"/>
    <x v="0"/>
  </r>
  <r>
    <s v="CUST0952"/>
    <s v="Female"/>
    <s v="No"/>
    <s v="Yes"/>
    <s v="No"/>
    <x v="71"/>
    <x v="2"/>
    <x v="0"/>
    <x v="2"/>
    <n v="102.31"/>
    <n v="3166.26"/>
    <x v="0"/>
  </r>
  <r>
    <s v="CUST0953"/>
    <s v="Male"/>
    <s v="No"/>
    <s v="No"/>
    <s v="No"/>
    <x v="38"/>
    <x v="0"/>
    <x v="1"/>
    <x v="2"/>
    <n v="44.33"/>
    <n v="1460.78"/>
    <x v="0"/>
  </r>
  <r>
    <s v="CUST0954"/>
    <s v="Female"/>
    <s v="No"/>
    <s v="Yes"/>
    <s v="No"/>
    <x v="66"/>
    <x v="1"/>
    <x v="0"/>
    <x v="1"/>
    <n v="93.83"/>
    <n v="5572.41"/>
    <x v="0"/>
  </r>
  <r>
    <s v="CUST0955"/>
    <s v="Male"/>
    <s v="Yes"/>
    <s v="No"/>
    <s v="No"/>
    <x v="12"/>
    <x v="0"/>
    <x v="0"/>
    <x v="1"/>
    <n v="63.77"/>
    <n v="367.93"/>
    <x v="0"/>
  </r>
  <r>
    <s v="CUST0956"/>
    <s v="Male"/>
    <s v="No"/>
    <s v="No"/>
    <s v="No"/>
    <x v="14"/>
    <x v="0"/>
    <x v="0"/>
    <x v="0"/>
    <n v="46.83"/>
    <n v="3303.67"/>
    <x v="0"/>
  </r>
  <r>
    <s v="CUST0957"/>
    <s v="Female"/>
    <s v="No"/>
    <s v="Yes"/>
    <s v="No"/>
    <x v="32"/>
    <x v="1"/>
    <x v="2"/>
    <x v="1"/>
    <n v="78.489999999999995"/>
    <n v="4349.88"/>
    <x v="0"/>
  </r>
  <r>
    <s v="CUST0958"/>
    <s v="Male"/>
    <s v="No"/>
    <s v="Yes"/>
    <s v="No"/>
    <x v="34"/>
    <x v="1"/>
    <x v="0"/>
    <x v="3"/>
    <n v="42.46"/>
    <n v="1952.57"/>
    <x v="1"/>
  </r>
  <r>
    <s v="CUST0959"/>
    <s v="Female"/>
    <s v="No"/>
    <s v="Yes"/>
    <s v="Yes"/>
    <x v="63"/>
    <x v="2"/>
    <x v="2"/>
    <x v="1"/>
    <n v="60.01"/>
    <n v="1159.44"/>
    <x v="0"/>
  </r>
  <r>
    <s v="CUST0960"/>
    <s v="Male"/>
    <s v="No"/>
    <s v="No"/>
    <s v="No"/>
    <x v="46"/>
    <x v="0"/>
    <x v="2"/>
    <x v="3"/>
    <n v="49.69"/>
    <n v="1585.5"/>
    <x v="0"/>
  </r>
  <r>
    <s v="CUST0961"/>
    <s v="Male"/>
    <s v="No"/>
    <s v="Yes"/>
    <s v="Yes"/>
    <x v="42"/>
    <x v="1"/>
    <x v="0"/>
    <x v="0"/>
    <n v="75.62"/>
    <n v="1975.8"/>
    <x v="0"/>
  </r>
  <r>
    <s v="CUST0962"/>
    <s v="Male"/>
    <s v="No"/>
    <s v="No"/>
    <s v="No"/>
    <x v="21"/>
    <x v="0"/>
    <x v="1"/>
    <x v="1"/>
    <n v="74.930000000000007"/>
    <n v="3402"/>
    <x v="0"/>
  </r>
  <r>
    <s v="CUST0963"/>
    <s v="Female"/>
    <s v="Yes"/>
    <s v="Yes"/>
    <s v="No"/>
    <x v="9"/>
    <x v="1"/>
    <x v="2"/>
    <x v="3"/>
    <n v="57.75"/>
    <n v="126.34"/>
    <x v="1"/>
  </r>
  <r>
    <s v="CUST0964"/>
    <s v="Male"/>
    <s v="No"/>
    <s v="Yes"/>
    <s v="No"/>
    <x v="27"/>
    <x v="1"/>
    <x v="0"/>
    <x v="0"/>
    <n v="87.86"/>
    <n v="1687.47"/>
    <x v="0"/>
  </r>
  <r>
    <s v="CUST0965"/>
    <s v="Male"/>
    <s v="No"/>
    <s v="No"/>
    <s v="No"/>
    <x v="12"/>
    <x v="0"/>
    <x v="1"/>
    <x v="0"/>
    <n v="73.48"/>
    <n v="387.59"/>
    <x v="0"/>
  </r>
  <r>
    <s v="CUST0966"/>
    <s v="Male"/>
    <s v="Yes"/>
    <s v="No"/>
    <s v="No"/>
    <x v="49"/>
    <x v="1"/>
    <x v="0"/>
    <x v="1"/>
    <n v="64.819999999999993"/>
    <n v="4391.22"/>
    <x v="0"/>
  </r>
  <r>
    <s v="CUST0967"/>
    <s v="Male"/>
    <s v="No"/>
    <s v="Yes"/>
    <s v="No"/>
    <x v="15"/>
    <x v="1"/>
    <x v="0"/>
    <x v="2"/>
    <n v="65.180000000000007"/>
    <n v="3739.96"/>
    <x v="0"/>
  </r>
  <r>
    <s v="CUST0968"/>
    <s v="Female"/>
    <s v="No"/>
    <s v="No"/>
    <s v="No"/>
    <x v="70"/>
    <x v="2"/>
    <x v="2"/>
    <x v="1"/>
    <n v="104.23"/>
    <n v="6578.54"/>
    <x v="0"/>
  </r>
  <r>
    <s v="CUST0969"/>
    <s v="Female"/>
    <s v="No"/>
    <s v="No"/>
    <s v="No"/>
    <x v="68"/>
    <x v="1"/>
    <x v="1"/>
    <x v="2"/>
    <n v="53.02"/>
    <n v="961.02"/>
    <x v="1"/>
  </r>
  <r>
    <s v="CUST0970"/>
    <s v="Male"/>
    <s v="No"/>
    <s v="No"/>
    <s v="No"/>
    <x v="60"/>
    <x v="1"/>
    <x v="2"/>
    <x v="2"/>
    <n v="82.73"/>
    <n v="196.28"/>
    <x v="0"/>
  </r>
  <r>
    <s v="CUST0971"/>
    <s v="Female"/>
    <s v="No"/>
    <s v="No"/>
    <s v="No"/>
    <x v="11"/>
    <x v="2"/>
    <x v="0"/>
    <x v="2"/>
    <n v="92.54"/>
    <n v="1417.2"/>
    <x v="0"/>
  </r>
  <r>
    <s v="CUST0972"/>
    <s v="Male"/>
    <s v="No"/>
    <s v="No"/>
    <s v="Yes"/>
    <x v="26"/>
    <x v="0"/>
    <x v="2"/>
    <x v="2"/>
    <n v="40.049999999999997"/>
    <n v="673.65"/>
    <x v="0"/>
  </r>
  <r>
    <s v="CUST0973"/>
    <s v="Male"/>
    <s v="No"/>
    <s v="Yes"/>
    <s v="No"/>
    <x v="24"/>
    <x v="0"/>
    <x v="0"/>
    <x v="0"/>
    <n v="60.98"/>
    <n v="709.84"/>
    <x v="0"/>
  </r>
  <r>
    <s v="CUST0974"/>
    <s v="Male"/>
    <s v="No"/>
    <s v="Yes"/>
    <s v="No"/>
    <x v="2"/>
    <x v="2"/>
    <x v="2"/>
    <x v="1"/>
    <n v="79.38"/>
    <n v="496.23"/>
    <x v="0"/>
  </r>
  <r>
    <s v="CUST0975"/>
    <s v="Female"/>
    <s v="No"/>
    <s v="No"/>
    <s v="No"/>
    <x v="72"/>
    <x v="1"/>
    <x v="0"/>
    <x v="3"/>
    <n v="28.32"/>
    <n v="1269.6300000000001"/>
    <x v="0"/>
  </r>
  <r>
    <s v="CUST0976"/>
    <s v="Female"/>
    <s v="No"/>
    <s v="Yes"/>
    <s v="Yes"/>
    <x v="59"/>
    <x v="0"/>
    <x v="2"/>
    <x v="1"/>
    <n v="64.72"/>
    <n v="763.13"/>
    <x v="0"/>
  </r>
  <r>
    <s v="CUST0977"/>
    <s v="Female"/>
    <s v="No"/>
    <s v="Yes"/>
    <s v="No"/>
    <x v="19"/>
    <x v="1"/>
    <x v="2"/>
    <x v="0"/>
    <n v="48.37"/>
    <n v="869.18"/>
    <x v="0"/>
  </r>
  <r>
    <s v="CUST0978"/>
    <s v="Female"/>
    <s v="No"/>
    <s v="No"/>
    <s v="Yes"/>
    <x v="30"/>
    <x v="2"/>
    <x v="0"/>
    <x v="0"/>
    <n v="107.76"/>
    <n v="6549.46"/>
    <x v="0"/>
  </r>
  <r>
    <s v="CUST0979"/>
    <s v="Female"/>
    <s v="No"/>
    <s v="Yes"/>
    <s v="No"/>
    <x v="38"/>
    <x v="1"/>
    <x v="1"/>
    <x v="3"/>
    <n v="63.65"/>
    <n v="2153.64"/>
    <x v="0"/>
  </r>
  <r>
    <s v="CUST0980"/>
    <s v="Female"/>
    <s v="No"/>
    <s v="No"/>
    <s v="No"/>
    <x v="38"/>
    <x v="0"/>
    <x v="1"/>
    <x v="0"/>
    <n v="84.78"/>
    <n v="2992.37"/>
    <x v="0"/>
  </r>
  <r>
    <s v="CUST0981"/>
    <s v="Female"/>
    <s v="No"/>
    <s v="No"/>
    <s v="No"/>
    <x v="19"/>
    <x v="1"/>
    <x v="2"/>
    <x v="0"/>
    <n v="69.02"/>
    <n v="1162.48"/>
    <x v="0"/>
  </r>
  <r>
    <s v="CUST0982"/>
    <s v="Female"/>
    <s v="Yes"/>
    <s v="Yes"/>
    <s v="Yes"/>
    <x v="27"/>
    <x v="1"/>
    <x v="0"/>
    <x v="2"/>
    <n v="77.150000000000006"/>
    <n v="1332.54"/>
    <x v="0"/>
  </r>
  <r>
    <s v="CUST0983"/>
    <s v="Female"/>
    <s v="No"/>
    <s v="No"/>
    <s v="No"/>
    <x v="38"/>
    <x v="0"/>
    <x v="0"/>
    <x v="2"/>
    <n v="72.38"/>
    <n v="2611.9299999999998"/>
    <x v="0"/>
  </r>
  <r>
    <s v="CUST0984"/>
    <s v="Male"/>
    <s v="Yes"/>
    <s v="No"/>
    <s v="No"/>
    <x v="58"/>
    <x v="0"/>
    <x v="2"/>
    <x v="1"/>
    <n v="57.42"/>
    <n v="1688.26"/>
    <x v="0"/>
  </r>
  <r>
    <s v="CUST0985"/>
    <s v="Female"/>
    <s v="No"/>
    <s v="No"/>
    <s v="No"/>
    <x v="48"/>
    <x v="0"/>
    <x v="2"/>
    <x v="0"/>
    <n v="137.12"/>
    <n v="6324.75"/>
    <x v="0"/>
  </r>
  <r>
    <s v="CUST0986"/>
    <s v="Female"/>
    <s v="No"/>
    <s v="No"/>
    <s v="No"/>
    <x v="72"/>
    <x v="1"/>
    <x v="0"/>
    <x v="2"/>
    <n v="100.18"/>
    <n v="4437.26"/>
    <x v="0"/>
  </r>
  <r>
    <s v="CUST0987"/>
    <s v="Female"/>
    <s v="No"/>
    <s v="No"/>
    <s v="Yes"/>
    <x v="29"/>
    <x v="1"/>
    <x v="1"/>
    <x v="3"/>
    <n v="28.35"/>
    <n v="557.13"/>
    <x v="0"/>
  </r>
  <r>
    <s v="CUST0988"/>
    <s v="Female"/>
    <s v="No"/>
    <s v="Yes"/>
    <s v="No"/>
    <x v="65"/>
    <x v="0"/>
    <x v="0"/>
    <x v="2"/>
    <n v="140"/>
    <n v="8531.59"/>
    <x v="0"/>
  </r>
  <r>
    <s v="CUST0989"/>
    <s v="Female"/>
    <s v="No"/>
    <s v="Yes"/>
    <s v="No"/>
    <x v="11"/>
    <x v="2"/>
    <x v="0"/>
    <x v="0"/>
    <n v="69.88"/>
    <n v="1140.01"/>
    <x v="0"/>
  </r>
  <r>
    <s v="CUST0990"/>
    <s v="Female"/>
    <s v="No"/>
    <s v="No"/>
    <s v="No"/>
    <x v="35"/>
    <x v="0"/>
    <x v="0"/>
    <x v="1"/>
    <n v="88.03"/>
    <n v="6264.82"/>
    <x v="0"/>
  </r>
  <r>
    <s v="CUST0991"/>
    <s v="Female"/>
    <s v="No"/>
    <s v="No"/>
    <s v="Yes"/>
    <x v="18"/>
    <x v="2"/>
    <x v="2"/>
    <x v="3"/>
    <n v="93.49"/>
    <n v="4595.8999999999996"/>
    <x v="0"/>
  </r>
  <r>
    <s v="CUST0992"/>
    <s v="Female"/>
    <s v="No"/>
    <s v="Yes"/>
    <s v="No"/>
    <x v="50"/>
    <x v="2"/>
    <x v="0"/>
    <x v="3"/>
    <n v="41.55"/>
    <n v="2745.58"/>
    <x v="0"/>
  </r>
  <r>
    <s v="CUST0993"/>
    <s v="Female"/>
    <s v="No"/>
    <s v="No"/>
    <s v="No"/>
    <x v="58"/>
    <x v="0"/>
    <x v="0"/>
    <x v="1"/>
    <n v="59.32"/>
    <n v="1765.44"/>
    <x v="0"/>
  </r>
  <r>
    <s v="CUST0994"/>
    <s v="Female"/>
    <s v="Yes"/>
    <s v="Yes"/>
    <s v="No"/>
    <x v="55"/>
    <x v="0"/>
    <x v="2"/>
    <x v="1"/>
    <n v="111.2"/>
    <n v="3842.91"/>
    <x v="0"/>
  </r>
  <r>
    <s v="CUST0995"/>
    <s v="Female"/>
    <s v="No"/>
    <s v="No"/>
    <s v="Yes"/>
    <x v="24"/>
    <x v="2"/>
    <x v="1"/>
    <x v="2"/>
    <n v="49.38"/>
    <n v="423.32"/>
    <x v="0"/>
  </r>
  <r>
    <s v="CUST0996"/>
    <s v="Male"/>
    <s v="No"/>
    <s v="No"/>
    <s v="No"/>
    <x v="49"/>
    <x v="0"/>
    <x v="2"/>
    <x v="1"/>
    <n v="94.97"/>
    <n v="6630.67"/>
    <x v="0"/>
  </r>
  <r>
    <s v="CUST0997"/>
    <s v="Male"/>
    <s v="No"/>
    <s v="No"/>
    <s v="Yes"/>
    <x v="32"/>
    <x v="2"/>
    <x v="1"/>
    <x v="1"/>
    <n v="43.66"/>
    <n v="2522.19"/>
    <x v="0"/>
  </r>
  <r>
    <s v="CUST0998"/>
    <s v="Female"/>
    <s v="No"/>
    <s v="No"/>
    <s v="No"/>
    <x v="26"/>
    <x v="0"/>
    <x v="0"/>
    <x v="1"/>
    <n v="77.62"/>
    <n v="928.47"/>
    <x v="1"/>
  </r>
  <r>
    <s v="CUST0999"/>
    <s v="Female"/>
    <s v="No"/>
    <s v="No"/>
    <s v="Yes"/>
    <x v="67"/>
    <x v="0"/>
    <x v="2"/>
    <x v="1"/>
    <n v="114.63"/>
    <n v="3986.77"/>
    <x v="0"/>
  </r>
  <r>
    <s v="CUST1000"/>
    <s v="Male"/>
    <s v="No"/>
    <s v="No"/>
    <s v="No"/>
    <x v="23"/>
    <x v="1"/>
    <x v="0"/>
    <x v="0"/>
    <n v="90.94"/>
    <n v="6115.5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ale"/>
    <x v="0"/>
    <s v="No"/>
    <s v="Yes"/>
    <n v="56"/>
    <s v="One year"/>
    <s v="Fiber optic"/>
    <s v="Mailed check"/>
    <n v="58.41"/>
    <n v="3292.87"/>
    <x v="0"/>
    <x v="0"/>
  </r>
  <r>
    <x v="1"/>
    <s v="Female"/>
    <x v="0"/>
    <s v="No"/>
    <s v="Yes"/>
    <n v="71"/>
    <s v="Month-to-month"/>
    <s v="No"/>
    <s v="Electronic check"/>
    <n v="85.7"/>
    <n v="5869.62"/>
    <x v="0"/>
    <x v="1"/>
  </r>
  <r>
    <x v="2"/>
    <s v="Male"/>
    <x v="0"/>
    <s v="No"/>
    <s v="No"/>
    <n v="6"/>
    <s v="Two year"/>
    <s v="Fiber optic"/>
    <s v="Bank transfer"/>
    <n v="49.77"/>
    <n v="250.5"/>
    <x v="0"/>
    <x v="2"/>
  </r>
  <r>
    <x v="3"/>
    <s v="Male"/>
    <x v="0"/>
    <s v="No"/>
    <s v="Yes"/>
    <n v="55"/>
    <s v="Month-to-month"/>
    <s v="Fiber optic"/>
    <s v="Bank transfer"/>
    <n v="55.91"/>
    <n v="3118.56"/>
    <x v="0"/>
    <x v="0"/>
  </r>
  <r>
    <x v="4"/>
    <s v="Male"/>
    <x v="0"/>
    <s v="Yes"/>
    <s v="Yes"/>
    <n v="66"/>
    <s v="Month-to-month"/>
    <s v="No"/>
    <s v="Bank transfer"/>
    <n v="21.69"/>
    <n v="1521.16"/>
    <x v="0"/>
    <x v="1"/>
  </r>
  <r>
    <x v="5"/>
    <s v="Female"/>
    <x v="0"/>
    <s v="Yes"/>
    <s v="No"/>
    <n v="15"/>
    <s v="Month-to-month"/>
    <s v="Fiber optic"/>
    <s v="Electronic check"/>
    <n v="77.73"/>
    <n v="1203.77"/>
    <x v="0"/>
    <x v="3"/>
  </r>
  <r>
    <x v="6"/>
    <s v="Male"/>
    <x v="0"/>
    <s v="No"/>
    <s v="No"/>
    <n v="50"/>
    <s v="One year"/>
    <s v="Fiber optic"/>
    <s v="Mailed check"/>
    <n v="127.14"/>
    <n v="6245.77"/>
    <x v="0"/>
    <x v="0"/>
  </r>
  <r>
    <x v="7"/>
    <s v="Male"/>
    <x v="0"/>
    <s v="Yes"/>
    <s v="No"/>
    <n v="71"/>
    <s v="Month-to-month"/>
    <s v="Fiber optic"/>
    <s v="Electronic check"/>
    <n v="76.680000000000007"/>
    <n v="5526.91"/>
    <x v="0"/>
    <x v="1"/>
  </r>
  <r>
    <x v="8"/>
    <s v="Male"/>
    <x v="0"/>
    <s v="No"/>
    <s v="Yes"/>
    <n v="11"/>
    <s v="Month-to-month"/>
    <s v="Fiber optic"/>
    <s v="Bank transfer"/>
    <n v="81.67"/>
    <n v="807.24"/>
    <x v="1"/>
    <x v="2"/>
  </r>
  <r>
    <x v="9"/>
    <s v="Female"/>
    <x v="0"/>
    <s v="Yes"/>
    <s v="No"/>
    <n v="52"/>
    <s v="Two year"/>
    <s v="DSL"/>
    <s v="Electronic check"/>
    <n v="50.11"/>
    <n v="2654.86"/>
    <x v="0"/>
    <x v="0"/>
  </r>
  <r>
    <x v="10"/>
    <s v="Male"/>
    <x v="0"/>
    <s v="No"/>
    <s v="Yes"/>
    <n v="4"/>
    <s v="Month-to-month"/>
    <s v="Fiber optic"/>
    <s v="Credit card"/>
    <n v="78.459999999999994"/>
    <n v="225.37"/>
    <x v="1"/>
    <x v="2"/>
  </r>
  <r>
    <x v="11"/>
    <s v="Male"/>
    <x v="0"/>
    <s v="No"/>
    <s v="Yes"/>
    <n v="26"/>
    <s v="Month-to-month"/>
    <s v="Fiber optic"/>
    <s v="Bank transfer"/>
    <n v="110.73"/>
    <n v="2817.12"/>
    <x v="0"/>
    <x v="4"/>
  </r>
  <r>
    <x v="12"/>
    <s v="Male"/>
    <x v="0"/>
    <s v="Yes"/>
    <s v="No"/>
    <n v="11"/>
    <s v="Two year"/>
    <s v="Fiber optic"/>
    <s v="Mailed check"/>
    <n v="83.57"/>
    <n v="842.76"/>
    <x v="1"/>
    <x v="2"/>
  </r>
  <r>
    <x v="13"/>
    <s v="Male"/>
    <x v="0"/>
    <s v="Yes"/>
    <s v="Yes"/>
    <n v="16"/>
    <s v="Month-to-month"/>
    <s v="Fiber optic"/>
    <s v="Mailed check"/>
    <n v="133.29"/>
    <n v="2143.7600000000002"/>
    <x v="0"/>
    <x v="3"/>
  </r>
  <r>
    <x v="14"/>
    <s v="Female"/>
    <x v="1"/>
    <s v="No"/>
    <s v="No"/>
    <n v="5"/>
    <s v="Month-to-month"/>
    <s v="Fiber optic"/>
    <s v="Electronic check"/>
    <n v="111.49"/>
    <n v="541.80999999999995"/>
    <x v="1"/>
    <x v="2"/>
  </r>
  <r>
    <x v="15"/>
    <s v="Male"/>
    <x v="1"/>
    <s v="No"/>
    <s v="No"/>
    <n v="4"/>
    <s v="Month-to-month"/>
    <s v="DSL"/>
    <s v="Electronic check"/>
    <n v="67.84"/>
    <n v="312.07"/>
    <x v="1"/>
    <x v="2"/>
  </r>
  <r>
    <x v="16"/>
    <s v="Female"/>
    <x v="0"/>
    <s v="Yes"/>
    <s v="No"/>
    <n v="56"/>
    <s v="Month-to-month"/>
    <s v="Fiber optic"/>
    <s v="Credit card"/>
    <n v="77.36"/>
    <n v="4330.67"/>
    <x v="0"/>
    <x v="0"/>
  </r>
  <r>
    <x v="17"/>
    <s v="Female"/>
    <x v="0"/>
    <s v="Yes"/>
    <s v="No"/>
    <n v="27"/>
    <s v="Month-to-month"/>
    <s v="DSL"/>
    <s v="Credit card"/>
    <n v="110.77"/>
    <n v="2869.36"/>
    <x v="0"/>
    <x v="4"/>
  </r>
  <r>
    <x v="18"/>
    <s v="Female"/>
    <x v="0"/>
    <s v="No"/>
    <s v="Yes"/>
    <n v="68"/>
    <s v="Month-to-month"/>
    <s v="Fiber optic"/>
    <s v="Electronic check"/>
    <n v="83.43"/>
    <n v="5695.3"/>
    <x v="0"/>
    <x v="1"/>
  </r>
  <r>
    <x v="19"/>
    <s v="Male"/>
    <x v="1"/>
    <s v="Yes"/>
    <s v="No"/>
    <n v="58"/>
    <s v="Month-to-month"/>
    <s v="No"/>
    <s v="Bank transfer"/>
    <n v="90.22"/>
    <n v="5091.79"/>
    <x v="1"/>
    <x v="0"/>
  </r>
  <r>
    <x v="20"/>
    <s v="Female"/>
    <x v="0"/>
    <s v="No"/>
    <s v="No"/>
    <n v="32"/>
    <s v="Month-to-month"/>
    <s v="Fiber optic"/>
    <s v="Bank transfer"/>
    <n v="130.07"/>
    <n v="4091.53"/>
    <x v="1"/>
    <x v="4"/>
  </r>
  <r>
    <x v="21"/>
    <s v="Male"/>
    <x v="0"/>
    <s v="No"/>
    <s v="No"/>
    <n v="61"/>
    <s v="One year"/>
    <s v="Fiber optic"/>
    <s v="Bank transfer"/>
    <n v="74.89"/>
    <n v="4539.18"/>
    <x v="0"/>
    <x v="1"/>
  </r>
  <r>
    <x v="22"/>
    <s v="Female"/>
    <x v="0"/>
    <s v="No"/>
    <s v="No"/>
    <n v="49"/>
    <s v="Month-to-month"/>
    <s v="DSL"/>
    <s v="Electronic check"/>
    <n v="78.8"/>
    <n v="3826.54"/>
    <x v="1"/>
    <x v="0"/>
  </r>
  <r>
    <x v="23"/>
    <s v="Female"/>
    <x v="0"/>
    <s v="No"/>
    <s v="Yes"/>
    <n v="18"/>
    <s v="Month-to-month"/>
    <s v="DSL"/>
    <s v="Electronic check"/>
    <n v="94.5"/>
    <n v="1569.21"/>
    <x v="0"/>
    <x v="3"/>
  </r>
  <r>
    <x v="24"/>
    <s v="Female"/>
    <x v="0"/>
    <s v="Yes"/>
    <s v="No"/>
    <n v="68"/>
    <s v="Two year"/>
    <s v="Fiber optic"/>
    <s v="Electronic check"/>
    <n v="99.19"/>
    <n v="6854.61"/>
    <x v="0"/>
    <x v="1"/>
  </r>
  <r>
    <x v="25"/>
    <s v="Female"/>
    <x v="0"/>
    <s v="Yes"/>
    <s v="Yes"/>
    <n v="65"/>
    <s v="One year"/>
    <s v="DSL"/>
    <s v="Credit card"/>
    <n v="89.01"/>
    <n v="5917.49"/>
    <x v="0"/>
    <x v="1"/>
  </r>
  <r>
    <x v="26"/>
    <s v="Female"/>
    <x v="0"/>
    <s v="Yes"/>
    <s v="No"/>
    <n v="46"/>
    <s v="Month-to-month"/>
    <s v="Fiber optic"/>
    <s v="Mailed check"/>
    <n v="46.66"/>
    <n v="2326.42"/>
    <x v="0"/>
    <x v="5"/>
  </r>
  <r>
    <x v="27"/>
    <s v="Female"/>
    <x v="0"/>
    <s v="Yes"/>
    <s v="No"/>
    <n v="38"/>
    <s v="Two year"/>
    <s v="DSL"/>
    <s v="Mailed check"/>
    <n v="48.79"/>
    <n v="1945.83"/>
    <x v="0"/>
    <x v="5"/>
  </r>
  <r>
    <x v="28"/>
    <s v="Female"/>
    <x v="1"/>
    <s v="Yes"/>
    <s v="Yes"/>
    <n v="67"/>
    <s v="Month-to-month"/>
    <s v="Fiber optic"/>
    <s v="Credit card"/>
    <n v="67.62"/>
    <n v="4498.8999999999996"/>
    <x v="0"/>
    <x v="1"/>
  </r>
  <r>
    <x v="29"/>
    <s v="Female"/>
    <x v="0"/>
    <s v="Yes"/>
    <s v="No"/>
    <n v="32"/>
    <s v="Month-to-month"/>
    <s v="Fiber optic"/>
    <s v="Bank transfer"/>
    <n v="110.36"/>
    <n v="3498.51"/>
    <x v="0"/>
    <x v="4"/>
  </r>
  <r>
    <x v="30"/>
    <s v="Male"/>
    <x v="0"/>
    <s v="Yes"/>
    <s v="Yes"/>
    <n v="12"/>
    <s v="One year"/>
    <s v="DSL"/>
    <s v="Credit card"/>
    <n v="39.119999999999997"/>
    <n v="432.01"/>
    <x v="0"/>
    <x v="2"/>
  </r>
  <r>
    <x v="31"/>
    <s v="Male"/>
    <x v="0"/>
    <s v="No"/>
    <s v="No"/>
    <n v="53"/>
    <s v="Month-to-month"/>
    <s v="Fiber optic"/>
    <s v="Mailed check"/>
    <n v="118.08"/>
    <n v="6417.09"/>
    <x v="1"/>
    <x v="0"/>
  </r>
  <r>
    <x v="32"/>
    <s v="Female"/>
    <x v="0"/>
    <s v="Yes"/>
    <s v="No"/>
    <n v="6"/>
    <s v="Month-to-month"/>
    <s v="DSL"/>
    <s v="Electronic check"/>
    <n v="89.5"/>
    <n v="527.76"/>
    <x v="1"/>
    <x v="2"/>
  </r>
  <r>
    <x v="33"/>
    <s v="Female"/>
    <x v="0"/>
    <s v="Yes"/>
    <s v="No"/>
    <n v="13"/>
    <s v="Month-to-month"/>
    <s v="DSL"/>
    <s v="Credit card"/>
    <n v="98.86"/>
    <n v="1386.72"/>
    <x v="1"/>
    <x v="3"/>
  </r>
  <r>
    <x v="34"/>
    <s v="Female"/>
    <x v="0"/>
    <s v="No"/>
    <s v="No"/>
    <n v="18"/>
    <s v="Month-to-month"/>
    <s v="Fiber optic"/>
    <s v="Mailed check"/>
    <n v="56.76"/>
    <n v="1116.99"/>
    <x v="0"/>
    <x v="3"/>
  </r>
  <r>
    <x v="35"/>
    <s v="Male"/>
    <x v="0"/>
    <s v="Yes"/>
    <s v="No"/>
    <n v="53"/>
    <s v="Month-to-month"/>
    <s v="Fiber optic"/>
    <s v="Electronic check"/>
    <n v="81.81"/>
    <n v="4351.09"/>
    <x v="0"/>
    <x v="0"/>
  </r>
  <r>
    <x v="36"/>
    <s v="Female"/>
    <x v="0"/>
    <s v="Yes"/>
    <s v="Yes"/>
    <n v="19"/>
    <s v="Two year"/>
    <s v="Fiber optic"/>
    <s v="Electronic check"/>
    <n v="87.47"/>
    <n v="1545.8"/>
    <x v="1"/>
    <x v="3"/>
  </r>
  <r>
    <x v="37"/>
    <s v="Male"/>
    <x v="0"/>
    <s v="No"/>
    <s v="Yes"/>
    <n v="28"/>
    <s v="Month-to-month"/>
    <s v="DSL"/>
    <s v="Electronic check"/>
    <n v="76.37"/>
    <n v="2130.85"/>
    <x v="1"/>
    <x v="4"/>
  </r>
  <r>
    <x v="38"/>
    <s v="Male"/>
    <x v="0"/>
    <s v="Yes"/>
    <s v="Yes"/>
    <n v="23"/>
    <s v="Two year"/>
    <s v="Fiber optic"/>
    <s v="Mailed check"/>
    <n v="87.39"/>
    <n v="2021.73"/>
    <x v="0"/>
    <x v="3"/>
  </r>
  <r>
    <x v="39"/>
    <s v="Male"/>
    <x v="1"/>
    <s v="Yes"/>
    <s v="Yes"/>
    <n v="62"/>
    <s v="One year"/>
    <s v="DSL"/>
    <s v="Credit card"/>
    <n v="63.09"/>
    <n v="4013.81"/>
    <x v="0"/>
    <x v="1"/>
  </r>
  <r>
    <x v="40"/>
    <s v="Male"/>
    <x v="0"/>
    <s v="Yes"/>
    <s v="No"/>
    <n v="56"/>
    <s v="Two year"/>
    <s v="DSL"/>
    <s v="Credit card"/>
    <n v="73.38"/>
    <n v="4110.84"/>
    <x v="0"/>
    <x v="0"/>
  </r>
  <r>
    <x v="41"/>
    <s v="Male"/>
    <x v="0"/>
    <s v="No"/>
    <s v="No"/>
    <n v="7"/>
    <s v="One year"/>
    <s v="No"/>
    <s v="Credit card"/>
    <n v="80.84"/>
    <n v="469.19"/>
    <x v="1"/>
    <x v="2"/>
  </r>
  <r>
    <x v="42"/>
    <s v="Female"/>
    <x v="0"/>
    <s v="Yes"/>
    <s v="No"/>
    <n v="61"/>
    <s v="One year"/>
    <s v="Fiber optic"/>
    <s v="Electronic check"/>
    <n v="50.84"/>
    <n v="3180.27"/>
    <x v="0"/>
    <x v="1"/>
  </r>
  <r>
    <x v="43"/>
    <s v="Female"/>
    <x v="0"/>
    <s v="Yes"/>
    <s v="Yes"/>
    <n v="28"/>
    <s v="Month-to-month"/>
    <s v="DSL"/>
    <s v="Mailed check"/>
    <n v="108.68"/>
    <n v="3024.84"/>
    <x v="0"/>
    <x v="4"/>
  </r>
  <r>
    <x v="44"/>
    <s v="Female"/>
    <x v="0"/>
    <s v="No"/>
    <s v="No"/>
    <n v="16"/>
    <s v="Month-to-month"/>
    <s v="Fiber optic"/>
    <s v="Electronic check"/>
    <n v="104.55"/>
    <n v="1469.18"/>
    <x v="1"/>
    <x v="3"/>
  </r>
  <r>
    <x v="45"/>
    <s v="Female"/>
    <x v="0"/>
    <s v="Yes"/>
    <s v="No"/>
    <n v="65"/>
    <s v="Month-to-month"/>
    <s v="DSL"/>
    <s v="Credit card"/>
    <n v="45.87"/>
    <n v="3007.55"/>
    <x v="0"/>
    <x v="1"/>
  </r>
  <r>
    <x v="46"/>
    <s v="Female"/>
    <x v="1"/>
    <s v="No"/>
    <s v="Yes"/>
    <n v="5"/>
    <s v="Two year"/>
    <s v="No"/>
    <s v="Mailed check"/>
    <n v="64.599999999999994"/>
    <n v="363.06"/>
    <x v="0"/>
    <x v="2"/>
  </r>
  <r>
    <x v="47"/>
    <s v="Male"/>
    <x v="0"/>
    <s v="No"/>
    <s v="No"/>
    <n v="57"/>
    <s v="Two year"/>
    <s v="DSL"/>
    <s v="Bank transfer"/>
    <n v="92.54"/>
    <n v="5207.34"/>
    <x v="0"/>
    <x v="0"/>
  </r>
  <r>
    <x v="48"/>
    <s v="Female"/>
    <x v="0"/>
    <s v="Yes"/>
    <s v="No"/>
    <n v="68"/>
    <s v="Month-to-month"/>
    <s v="DSL"/>
    <s v="Bank transfer"/>
    <n v="39.119999999999997"/>
    <n v="2644.8"/>
    <x v="0"/>
    <x v="1"/>
  </r>
  <r>
    <x v="49"/>
    <s v="Female"/>
    <x v="0"/>
    <s v="No"/>
    <s v="Yes"/>
    <n v="27"/>
    <s v="Month-to-month"/>
    <s v="Fiber optic"/>
    <s v="Mailed check"/>
    <n v="81.05"/>
    <n v="2240.9699999999998"/>
    <x v="0"/>
    <x v="4"/>
  </r>
  <r>
    <x v="50"/>
    <s v="Male"/>
    <x v="0"/>
    <s v="No"/>
    <s v="No"/>
    <n v="61"/>
    <s v="Month-to-month"/>
    <s v="Fiber optic"/>
    <s v="Electronic check"/>
    <n v="78.040000000000006"/>
    <n v="4786.9799999999996"/>
    <x v="0"/>
    <x v="1"/>
  </r>
  <r>
    <x v="51"/>
    <s v="Female"/>
    <x v="0"/>
    <s v="Yes"/>
    <s v="No"/>
    <n v="40"/>
    <s v="One year"/>
    <s v="Fiber optic"/>
    <s v="Credit card"/>
    <n v="63.86"/>
    <n v="2429.39"/>
    <x v="0"/>
    <x v="5"/>
  </r>
  <r>
    <x v="52"/>
    <s v="Male"/>
    <x v="0"/>
    <s v="No"/>
    <s v="Yes"/>
    <n v="68"/>
    <s v="Month-to-month"/>
    <s v="DSL"/>
    <s v="Credit card"/>
    <n v="72.31"/>
    <n v="5017.3599999999997"/>
    <x v="0"/>
    <x v="1"/>
  </r>
  <r>
    <x v="53"/>
    <s v="Female"/>
    <x v="0"/>
    <s v="No"/>
    <s v="No"/>
    <n v="40"/>
    <s v="One year"/>
    <s v="DSL"/>
    <s v="Electronic check"/>
    <n v="54.99"/>
    <n v="2336.11"/>
    <x v="0"/>
    <x v="5"/>
  </r>
  <r>
    <x v="54"/>
    <s v="Male"/>
    <x v="0"/>
    <s v="Yes"/>
    <s v="No"/>
    <n v="48"/>
    <s v="Two year"/>
    <s v="Fiber optic"/>
    <s v="Mailed check"/>
    <n v="114.36"/>
    <n v="5448.47"/>
    <x v="0"/>
    <x v="5"/>
  </r>
  <r>
    <x v="55"/>
    <s v="Female"/>
    <x v="0"/>
    <s v="Yes"/>
    <s v="No"/>
    <n v="48"/>
    <s v="Month-to-month"/>
    <s v="DSL"/>
    <s v="Credit card"/>
    <n v="54.33"/>
    <n v="2455.0500000000002"/>
    <x v="1"/>
    <x v="5"/>
  </r>
  <r>
    <x v="56"/>
    <s v="Female"/>
    <x v="1"/>
    <s v="Yes"/>
    <s v="No"/>
    <n v="70"/>
    <s v="Month-to-month"/>
    <s v="No"/>
    <s v="Electronic check"/>
    <n v="74.8"/>
    <n v="5297.69"/>
    <x v="0"/>
    <x v="1"/>
  </r>
  <r>
    <x v="57"/>
    <s v="Male"/>
    <x v="1"/>
    <s v="No"/>
    <s v="No"/>
    <n v="2"/>
    <s v="Month-to-month"/>
    <s v="DSL"/>
    <s v="Mailed check"/>
    <n v="28.62"/>
    <n v="14.31"/>
    <x v="1"/>
    <x v="2"/>
  </r>
  <r>
    <x v="58"/>
    <s v="Male"/>
    <x v="0"/>
    <s v="Yes"/>
    <s v="No"/>
    <n v="9"/>
    <s v="Month-to-month"/>
    <s v="Fiber optic"/>
    <s v="Electronic check"/>
    <n v="75.95"/>
    <n v="726.39"/>
    <x v="1"/>
    <x v="2"/>
  </r>
  <r>
    <x v="59"/>
    <s v="Male"/>
    <x v="0"/>
    <s v="No"/>
    <s v="No"/>
    <n v="34"/>
    <s v="Month-to-month"/>
    <s v="Fiber optic"/>
    <s v="Mailed check"/>
    <n v="80.31"/>
    <n v="2906.71"/>
    <x v="0"/>
    <x v="4"/>
  </r>
  <r>
    <x v="60"/>
    <s v="Male"/>
    <x v="0"/>
    <s v="No"/>
    <s v="Yes"/>
    <n v="1"/>
    <s v="Month-to-month"/>
    <s v="DSL"/>
    <s v="Electronic check"/>
    <n v="65.14"/>
    <n v="32.57"/>
    <x v="1"/>
    <x v="2"/>
  </r>
  <r>
    <x v="61"/>
    <s v="Male"/>
    <x v="0"/>
    <s v="No"/>
    <s v="No"/>
    <n v="23"/>
    <s v="Two year"/>
    <s v="Fiber optic"/>
    <s v="Mailed check"/>
    <n v="70.09"/>
    <n v="1548.34"/>
    <x v="0"/>
    <x v="3"/>
  </r>
  <r>
    <x v="62"/>
    <s v="Male"/>
    <x v="1"/>
    <s v="No"/>
    <s v="No"/>
    <n v="37"/>
    <s v="Month-to-month"/>
    <s v="Fiber optic"/>
    <s v="Electronic check"/>
    <n v="63.31"/>
    <n v="2326.91"/>
    <x v="0"/>
    <x v="5"/>
  </r>
  <r>
    <x v="63"/>
    <s v="Male"/>
    <x v="1"/>
    <s v="No"/>
    <s v="No"/>
    <n v="21"/>
    <s v="Month-to-month"/>
    <s v="DSL"/>
    <s v="Mailed check"/>
    <n v="88.86"/>
    <n v="1969.39"/>
    <x v="0"/>
    <x v="3"/>
  </r>
  <r>
    <x v="64"/>
    <s v="Male"/>
    <x v="0"/>
    <s v="No"/>
    <s v="Yes"/>
    <n v="25"/>
    <s v="Two year"/>
    <s v="No"/>
    <s v="Credit card"/>
    <n v="79.989999999999995"/>
    <n v="2284.1999999999998"/>
    <x v="0"/>
    <x v="4"/>
  </r>
  <r>
    <x v="65"/>
    <s v="Female"/>
    <x v="0"/>
    <s v="No"/>
    <s v="No"/>
    <n v="42"/>
    <s v="One year"/>
    <s v="Fiber optic"/>
    <s v="Credit card"/>
    <n v="77.95"/>
    <n v="3293.67"/>
    <x v="0"/>
    <x v="5"/>
  </r>
  <r>
    <x v="66"/>
    <s v="Female"/>
    <x v="0"/>
    <s v="Yes"/>
    <s v="Yes"/>
    <n v="54"/>
    <s v="Month-to-month"/>
    <s v="DSL"/>
    <s v="Credit card"/>
    <n v="42.58"/>
    <n v="2168.7399999999998"/>
    <x v="0"/>
    <x v="0"/>
  </r>
  <r>
    <x v="67"/>
    <s v="Male"/>
    <x v="0"/>
    <s v="Yes"/>
    <s v="Yes"/>
    <n v="38"/>
    <s v="One year"/>
    <s v="Fiber optic"/>
    <s v="Bank transfer"/>
    <n v="124.85"/>
    <n v="4716.66"/>
    <x v="0"/>
    <x v="5"/>
  </r>
  <r>
    <x v="68"/>
    <s v="Female"/>
    <x v="0"/>
    <s v="No"/>
    <s v="Yes"/>
    <n v="28"/>
    <s v="Month-to-month"/>
    <s v="DSL"/>
    <s v="Electronic check"/>
    <n v="48.01"/>
    <n v="1282.29"/>
    <x v="0"/>
    <x v="4"/>
  </r>
  <r>
    <x v="69"/>
    <s v="Female"/>
    <x v="0"/>
    <s v="No"/>
    <s v="No"/>
    <n v="19"/>
    <s v="One year"/>
    <s v="Fiber optic"/>
    <s v="Electronic check"/>
    <n v="43.51"/>
    <n v="884.42"/>
    <x v="0"/>
    <x v="3"/>
  </r>
  <r>
    <x v="70"/>
    <s v="Female"/>
    <x v="0"/>
    <s v="Yes"/>
    <s v="No"/>
    <n v="40"/>
    <s v="One year"/>
    <s v="Fiber optic"/>
    <s v="Credit card"/>
    <n v="29.68"/>
    <n v="1217.3499999999999"/>
    <x v="0"/>
    <x v="5"/>
  </r>
  <r>
    <x v="71"/>
    <s v="Female"/>
    <x v="0"/>
    <s v="No"/>
    <s v="No"/>
    <n v="53"/>
    <s v="One year"/>
    <s v="Fiber optic"/>
    <s v="Mailed check"/>
    <n v="82.49"/>
    <n v="4288.62"/>
    <x v="0"/>
    <x v="0"/>
  </r>
  <r>
    <x v="72"/>
    <s v="Male"/>
    <x v="0"/>
    <s v="Yes"/>
    <s v="Yes"/>
    <n v="19"/>
    <s v="Month-to-month"/>
    <s v="No"/>
    <s v="Electronic check"/>
    <n v="49.56"/>
    <n v="874.96"/>
    <x v="0"/>
    <x v="3"/>
  </r>
  <r>
    <x v="73"/>
    <s v="Female"/>
    <x v="0"/>
    <s v="Yes"/>
    <s v="No"/>
    <n v="18"/>
    <s v="Two year"/>
    <s v="Fiber optic"/>
    <s v="Bank transfer"/>
    <n v="105.77"/>
    <n v="1875.06"/>
    <x v="0"/>
    <x v="3"/>
  </r>
  <r>
    <x v="74"/>
    <s v="Male"/>
    <x v="0"/>
    <s v="Yes"/>
    <s v="No"/>
    <n v="65"/>
    <s v="Month-to-month"/>
    <s v="Fiber optic"/>
    <s v="Electronic check"/>
    <n v="95.28"/>
    <n v="6174.05"/>
    <x v="0"/>
    <x v="1"/>
  </r>
  <r>
    <x v="75"/>
    <s v="Female"/>
    <x v="0"/>
    <s v="No"/>
    <s v="No"/>
    <n v="29"/>
    <s v="Month-to-month"/>
    <s v="DSL"/>
    <s v="Electronic check"/>
    <n v="77.260000000000005"/>
    <n v="2237.16"/>
    <x v="0"/>
    <x v="4"/>
  </r>
  <r>
    <x v="76"/>
    <s v="Female"/>
    <x v="1"/>
    <s v="No"/>
    <s v="Yes"/>
    <n v="52"/>
    <s v="Month-to-month"/>
    <s v="Fiber optic"/>
    <s v="Credit card"/>
    <n v="73.22"/>
    <n v="3811.35"/>
    <x v="1"/>
    <x v="0"/>
  </r>
  <r>
    <x v="77"/>
    <s v="Female"/>
    <x v="0"/>
    <s v="Yes"/>
    <s v="No"/>
    <n v="33"/>
    <s v="Month-to-month"/>
    <s v="DSL"/>
    <s v="Credit card"/>
    <n v="97.75"/>
    <n v="3324.54"/>
    <x v="0"/>
    <x v="4"/>
  </r>
  <r>
    <x v="78"/>
    <s v="Male"/>
    <x v="0"/>
    <s v="Yes"/>
    <s v="No"/>
    <n v="21"/>
    <s v="Month-to-month"/>
    <s v="Fiber optic"/>
    <s v="Mailed check"/>
    <n v="126.68"/>
    <n v="2628.58"/>
    <x v="1"/>
    <x v="3"/>
  </r>
  <r>
    <x v="79"/>
    <s v="Female"/>
    <x v="0"/>
    <s v="Yes"/>
    <s v="No"/>
    <n v="66"/>
    <s v="Two year"/>
    <s v="Fiber optic"/>
    <s v="Credit card"/>
    <n v="105.22"/>
    <n v="6901.03"/>
    <x v="0"/>
    <x v="1"/>
  </r>
  <r>
    <x v="80"/>
    <s v="Male"/>
    <x v="0"/>
    <s v="Yes"/>
    <s v="Yes"/>
    <n v="5"/>
    <s v="Two year"/>
    <s v="DSL"/>
    <s v="Bank transfer"/>
    <n v="58.41"/>
    <n v="184.95"/>
    <x v="0"/>
    <x v="2"/>
  </r>
  <r>
    <x v="81"/>
    <s v="Female"/>
    <x v="0"/>
    <s v="Yes"/>
    <s v="Yes"/>
    <n v="26"/>
    <s v="Month-to-month"/>
    <s v="DSL"/>
    <s v="Bank transfer"/>
    <n v="89.54"/>
    <n v="2310.13"/>
    <x v="0"/>
    <x v="4"/>
  </r>
  <r>
    <x v="82"/>
    <s v="Male"/>
    <x v="0"/>
    <s v="No"/>
    <s v="No"/>
    <n v="9"/>
    <s v="Month-to-month"/>
    <s v="Fiber optic"/>
    <s v="Electronic check"/>
    <n v="69.95"/>
    <n v="650.04999999999995"/>
    <x v="0"/>
    <x v="2"/>
  </r>
  <r>
    <x v="83"/>
    <s v="Female"/>
    <x v="0"/>
    <s v="Yes"/>
    <s v="No"/>
    <n v="72"/>
    <s v="Month-to-month"/>
    <s v="Fiber optic"/>
    <s v="Electronic check"/>
    <n v="52.37"/>
    <n v="3632.71"/>
    <x v="0"/>
    <x v="1"/>
  </r>
  <r>
    <x v="84"/>
    <s v="Male"/>
    <x v="0"/>
    <s v="No"/>
    <s v="No"/>
    <n v="47"/>
    <s v="Month-to-month"/>
    <s v="Fiber optic"/>
    <s v="Bank transfer"/>
    <n v="57.52"/>
    <n v="2676.05"/>
    <x v="1"/>
    <x v="5"/>
  </r>
  <r>
    <x v="85"/>
    <s v="Male"/>
    <x v="0"/>
    <s v="Yes"/>
    <s v="No"/>
    <n v="69"/>
    <s v="Month-to-month"/>
    <s v="Fiber optic"/>
    <s v="Credit card"/>
    <n v="71.05"/>
    <n v="4995.2700000000004"/>
    <x v="0"/>
    <x v="1"/>
  </r>
  <r>
    <x v="86"/>
    <s v="Female"/>
    <x v="1"/>
    <s v="No"/>
    <s v="Yes"/>
    <n v="58"/>
    <s v="Two year"/>
    <s v="Fiber optic"/>
    <s v="Bank transfer"/>
    <n v="82.6"/>
    <n v="4842.66"/>
    <x v="0"/>
    <x v="0"/>
  </r>
  <r>
    <x v="87"/>
    <s v="Male"/>
    <x v="1"/>
    <s v="No"/>
    <s v="No"/>
    <n v="58"/>
    <s v="Month-to-month"/>
    <s v="Fiber optic"/>
    <s v="Electronic check"/>
    <n v="131.51"/>
    <n v="7657.45"/>
    <x v="1"/>
    <x v="0"/>
  </r>
  <r>
    <x v="88"/>
    <s v="Female"/>
    <x v="1"/>
    <s v="No"/>
    <s v="No"/>
    <n v="1"/>
    <s v="Month-to-month"/>
    <s v="DSL"/>
    <s v="Electronic check"/>
    <n v="47.96"/>
    <n v="97.66"/>
    <x v="1"/>
    <x v="2"/>
  </r>
  <r>
    <x v="89"/>
    <s v="Female"/>
    <x v="1"/>
    <s v="No"/>
    <s v="No"/>
    <n v="28"/>
    <s v="Month-to-month"/>
    <s v="DSL"/>
    <s v="Credit card"/>
    <n v="103.09"/>
    <n v="2840.62"/>
    <x v="0"/>
    <x v="4"/>
  </r>
  <r>
    <x v="90"/>
    <s v="Female"/>
    <x v="1"/>
    <s v="No"/>
    <s v="No"/>
    <n v="67"/>
    <s v="Two year"/>
    <s v="Fiber optic"/>
    <s v="Electronic check"/>
    <n v="72.069999999999993"/>
    <n v="4772.1400000000003"/>
    <x v="0"/>
    <x v="1"/>
  </r>
  <r>
    <x v="91"/>
    <s v="Female"/>
    <x v="0"/>
    <s v="No"/>
    <s v="No"/>
    <n v="64"/>
    <s v="One year"/>
    <s v="Fiber optic"/>
    <s v="Mailed check"/>
    <n v="29.59"/>
    <n v="1995.51"/>
    <x v="0"/>
    <x v="1"/>
  </r>
  <r>
    <x v="92"/>
    <s v="Female"/>
    <x v="0"/>
    <s v="Yes"/>
    <s v="Yes"/>
    <n v="25"/>
    <s v="Two year"/>
    <s v="DSL"/>
    <s v="Electronic check"/>
    <n v="57.36"/>
    <n v="1500.29"/>
    <x v="1"/>
    <x v="4"/>
  </r>
  <r>
    <x v="93"/>
    <s v="Female"/>
    <x v="0"/>
    <s v="No"/>
    <s v="No"/>
    <n v="9"/>
    <s v="One year"/>
    <s v="Fiber optic"/>
    <s v="Electronic check"/>
    <n v="109.42"/>
    <n v="925.08"/>
    <x v="1"/>
    <x v="2"/>
  </r>
  <r>
    <x v="94"/>
    <s v="Female"/>
    <x v="0"/>
    <s v="Yes"/>
    <s v="Yes"/>
    <n v="52"/>
    <s v="Month-to-month"/>
    <s v="DSL"/>
    <s v="Bank transfer"/>
    <n v="78.62"/>
    <n v="3937.94"/>
    <x v="1"/>
    <x v="0"/>
  </r>
  <r>
    <x v="95"/>
    <s v="Female"/>
    <x v="0"/>
    <s v="No"/>
    <s v="No"/>
    <n v="58"/>
    <s v="Month-to-month"/>
    <s v="Fiber optic"/>
    <s v="Bank transfer"/>
    <n v="90.11"/>
    <n v="5168.34"/>
    <x v="0"/>
    <x v="0"/>
  </r>
  <r>
    <x v="96"/>
    <s v="Female"/>
    <x v="0"/>
    <s v="No"/>
    <s v="No"/>
    <n v="21"/>
    <s v="One year"/>
    <s v="Fiber optic"/>
    <s v="Electronic check"/>
    <n v="113.21"/>
    <n v="2420.89"/>
    <x v="0"/>
    <x v="3"/>
  </r>
  <r>
    <x v="97"/>
    <s v="Female"/>
    <x v="0"/>
    <s v="Yes"/>
    <s v="No"/>
    <n v="50"/>
    <s v="Month-to-month"/>
    <s v="Fiber optic"/>
    <s v="Electronic check"/>
    <n v="54.09"/>
    <n v="2651.84"/>
    <x v="0"/>
    <x v="0"/>
  </r>
  <r>
    <x v="98"/>
    <s v="Female"/>
    <x v="0"/>
    <s v="No"/>
    <s v="No"/>
    <n v="47"/>
    <s v="One year"/>
    <s v="Fiber optic"/>
    <s v="Credit card"/>
    <n v="53.71"/>
    <n v="2550.7800000000002"/>
    <x v="0"/>
    <x v="5"/>
  </r>
  <r>
    <x v="99"/>
    <s v="Male"/>
    <x v="1"/>
    <s v="Yes"/>
    <s v="No"/>
    <n v="20"/>
    <s v="Month-to-month"/>
    <s v="DSL"/>
    <s v="Electronic check"/>
    <n v="20"/>
    <n v="513.58000000000004"/>
    <x v="0"/>
    <x v="3"/>
  </r>
  <r>
    <x v="100"/>
    <s v="Male"/>
    <x v="0"/>
    <s v="Yes"/>
    <s v="No"/>
    <n v="21"/>
    <s v="Month-to-month"/>
    <s v="No"/>
    <s v="Mailed check"/>
    <n v="76.930000000000007"/>
    <n v="1608.09"/>
    <x v="0"/>
    <x v="3"/>
  </r>
  <r>
    <x v="101"/>
    <s v="Female"/>
    <x v="0"/>
    <s v="Yes"/>
    <s v="No"/>
    <n v="29"/>
    <s v="Month-to-month"/>
    <s v="Fiber optic"/>
    <s v="Credit card"/>
    <n v="94.06"/>
    <n v="2746.46"/>
    <x v="0"/>
    <x v="4"/>
  </r>
  <r>
    <x v="102"/>
    <s v="Female"/>
    <x v="0"/>
    <s v="Yes"/>
    <s v="Yes"/>
    <n v="24"/>
    <s v="One year"/>
    <s v="Fiber optic"/>
    <s v="Electronic check"/>
    <n v="98.1"/>
    <n v="2409.19"/>
    <x v="1"/>
    <x v="3"/>
  </r>
  <r>
    <x v="103"/>
    <s v="Female"/>
    <x v="1"/>
    <s v="No"/>
    <s v="No"/>
    <n v="27"/>
    <s v="One year"/>
    <s v="Fiber optic"/>
    <s v="Credit card"/>
    <n v="50.42"/>
    <n v="1274.77"/>
    <x v="0"/>
    <x v="4"/>
  </r>
  <r>
    <x v="104"/>
    <s v="Female"/>
    <x v="1"/>
    <s v="No"/>
    <s v="No"/>
    <n v="64"/>
    <s v="Month-to-month"/>
    <s v="Fiber optic"/>
    <s v="Electronic check"/>
    <n v="39.89"/>
    <n v="2491.12"/>
    <x v="0"/>
    <x v="1"/>
  </r>
  <r>
    <x v="105"/>
    <s v="Female"/>
    <x v="0"/>
    <s v="Yes"/>
    <s v="No"/>
    <n v="44"/>
    <s v="Month-to-month"/>
    <s v="Fiber optic"/>
    <s v="Mailed check"/>
    <n v="47.01"/>
    <n v="2126.5300000000002"/>
    <x v="0"/>
    <x v="5"/>
  </r>
  <r>
    <x v="106"/>
    <s v="Female"/>
    <x v="0"/>
    <s v="No"/>
    <s v="No"/>
    <n v="67"/>
    <s v="Month-to-month"/>
    <s v="Fiber optic"/>
    <s v="Mailed check"/>
    <n v="56.94"/>
    <n v="3817.94"/>
    <x v="0"/>
    <x v="1"/>
  </r>
  <r>
    <x v="107"/>
    <s v="Female"/>
    <x v="0"/>
    <s v="No"/>
    <s v="No"/>
    <n v="6"/>
    <s v="Month-to-month"/>
    <s v="DSL"/>
    <s v="Credit card"/>
    <n v="108.85"/>
    <n v="662.84"/>
    <x v="1"/>
    <x v="2"/>
  </r>
  <r>
    <x v="108"/>
    <s v="Female"/>
    <x v="0"/>
    <s v="Yes"/>
    <s v="Yes"/>
    <n v="48"/>
    <s v="Month-to-month"/>
    <s v="DSL"/>
    <s v="Electronic check"/>
    <n v="95"/>
    <n v="4562.66"/>
    <x v="0"/>
    <x v="5"/>
  </r>
  <r>
    <x v="109"/>
    <s v="Male"/>
    <x v="0"/>
    <s v="No"/>
    <s v="No"/>
    <n v="8"/>
    <s v="Month-to-month"/>
    <s v="Fiber optic"/>
    <s v="Mailed check"/>
    <n v="68.540000000000006"/>
    <n v="626.58000000000004"/>
    <x v="0"/>
    <x v="2"/>
  </r>
  <r>
    <x v="110"/>
    <s v="Female"/>
    <x v="1"/>
    <s v="Yes"/>
    <s v="Yes"/>
    <n v="35"/>
    <s v="Month-to-month"/>
    <s v="DSL"/>
    <s v="Credit card"/>
    <n v="77.48"/>
    <n v="2746.66"/>
    <x v="1"/>
    <x v="4"/>
  </r>
  <r>
    <x v="111"/>
    <s v="Male"/>
    <x v="0"/>
    <s v="Yes"/>
    <s v="Yes"/>
    <n v="0"/>
    <s v="Month-to-month"/>
    <s v="Fiber optic"/>
    <s v="Mailed check"/>
    <n v="63.04"/>
    <n v="35.909999999999997"/>
    <x v="1"/>
    <x v="6"/>
  </r>
  <r>
    <x v="112"/>
    <s v="Female"/>
    <x v="0"/>
    <s v="No"/>
    <s v="Yes"/>
    <n v="9"/>
    <s v="Month-to-month"/>
    <s v="DSL"/>
    <s v="Mailed check"/>
    <n v="79.11"/>
    <n v="809.77"/>
    <x v="1"/>
    <x v="2"/>
  </r>
  <r>
    <x v="113"/>
    <s v="Female"/>
    <x v="1"/>
    <s v="No"/>
    <s v="No"/>
    <n v="35"/>
    <s v="Month-to-month"/>
    <s v="Fiber optic"/>
    <s v="Electronic check"/>
    <n v="51.55"/>
    <n v="1932.78"/>
    <x v="1"/>
    <x v="4"/>
  </r>
  <r>
    <x v="114"/>
    <s v="Male"/>
    <x v="0"/>
    <s v="No"/>
    <s v="No"/>
    <n v="72"/>
    <s v="Month-to-month"/>
    <s v="No"/>
    <s v="Bank transfer"/>
    <n v="73.760000000000005"/>
    <n v="5490.21"/>
    <x v="0"/>
    <x v="1"/>
  </r>
  <r>
    <x v="115"/>
    <s v="Female"/>
    <x v="0"/>
    <s v="Yes"/>
    <s v="Yes"/>
    <n v="45"/>
    <s v="Month-to-month"/>
    <s v="No"/>
    <s v="Electronic check"/>
    <n v="33.76"/>
    <n v="1472.88"/>
    <x v="0"/>
    <x v="5"/>
  </r>
  <r>
    <x v="116"/>
    <s v="Male"/>
    <x v="1"/>
    <s v="Yes"/>
    <s v="No"/>
    <n v="31"/>
    <s v="Month-to-month"/>
    <s v="Fiber optic"/>
    <s v="Electronic check"/>
    <n v="100.15"/>
    <n v="3302.2"/>
    <x v="1"/>
    <x v="4"/>
  </r>
  <r>
    <x v="117"/>
    <s v="Female"/>
    <x v="0"/>
    <s v="No"/>
    <s v="No"/>
    <n v="31"/>
    <s v="One year"/>
    <s v="Fiber optic"/>
    <s v="Bank transfer"/>
    <n v="69.31"/>
    <n v="2060.87"/>
    <x v="0"/>
    <x v="4"/>
  </r>
  <r>
    <x v="118"/>
    <s v="Female"/>
    <x v="0"/>
    <s v="No"/>
    <s v="Yes"/>
    <n v="5"/>
    <s v="Month-to-month"/>
    <s v="No"/>
    <s v="Electronic check"/>
    <n v="35.25"/>
    <n v="331.07"/>
    <x v="1"/>
    <x v="2"/>
  </r>
  <r>
    <x v="119"/>
    <s v="Male"/>
    <x v="0"/>
    <s v="No"/>
    <s v="No"/>
    <n v="47"/>
    <s v="Month-to-month"/>
    <s v="Fiber optic"/>
    <s v="Credit card"/>
    <n v="120.32"/>
    <n v="5604.32"/>
    <x v="0"/>
    <x v="5"/>
  </r>
  <r>
    <x v="120"/>
    <s v="Female"/>
    <x v="0"/>
    <s v="No"/>
    <s v="No"/>
    <n v="37"/>
    <s v="Month-to-month"/>
    <s v="DSL"/>
    <s v="Credit card"/>
    <n v="74.42"/>
    <n v="2748.02"/>
    <x v="0"/>
    <x v="5"/>
  </r>
  <r>
    <x v="121"/>
    <s v="Male"/>
    <x v="0"/>
    <s v="Yes"/>
    <s v="No"/>
    <n v="16"/>
    <s v="One year"/>
    <s v="No"/>
    <s v="Bank transfer"/>
    <n v="46.95"/>
    <n v="752.69"/>
    <x v="0"/>
    <x v="3"/>
  </r>
  <r>
    <x v="122"/>
    <s v="Female"/>
    <x v="0"/>
    <s v="No"/>
    <s v="No"/>
    <n v="26"/>
    <s v="Two year"/>
    <s v="Fiber optic"/>
    <s v="Credit card"/>
    <n v="98.95"/>
    <n v="2503.34"/>
    <x v="0"/>
    <x v="4"/>
  </r>
  <r>
    <x v="123"/>
    <s v="Male"/>
    <x v="0"/>
    <s v="Yes"/>
    <s v="No"/>
    <n v="53"/>
    <s v="One year"/>
    <s v="Fiber optic"/>
    <s v="Bank transfer"/>
    <n v="46.5"/>
    <n v="2471.44"/>
    <x v="0"/>
    <x v="0"/>
  </r>
  <r>
    <x v="124"/>
    <s v="Male"/>
    <x v="0"/>
    <s v="Yes"/>
    <s v="No"/>
    <n v="49"/>
    <s v="One year"/>
    <s v="DSL"/>
    <s v="Electronic check"/>
    <n v="97.67"/>
    <n v="4720.6000000000004"/>
    <x v="1"/>
    <x v="0"/>
  </r>
  <r>
    <x v="125"/>
    <s v="Female"/>
    <x v="0"/>
    <s v="No"/>
    <s v="No"/>
    <n v="34"/>
    <s v="Month-to-month"/>
    <s v="DSL"/>
    <s v="Bank transfer"/>
    <n v="66.510000000000005"/>
    <n v="2162.54"/>
    <x v="0"/>
    <x v="4"/>
  </r>
  <r>
    <x v="126"/>
    <s v="Female"/>
    <x v="0"/>
    <s v="No"/>
    <s v="No"/>
    <n v="24"/>
    <s v="One year"/>
    <s v="Fiber optic"/>
    <s v="Electronic check"/>
    <n v="95.02"/>
    <n v="2277.38"/>
    <x v="0"/>
    <x v="3"/>
  </r>
  <r>
    <x v="127"/>
    <s v="Male"/>
    <x v="0"/>
    <s v="No"/>
    <s v="Yes"/>
    <n v="27"/>
    <s v="One year"/>
    <s v="Fiber optic"/>
    <s v="Electronic check"/>
    <n v="41.3"/>
    <n v="1242.29"/>
    <x v="1"/>
    <x v="4"/>
  </r>
  <r>
    <x v="128"/>
    <s v="Female"/>
    <x v="1"/>
    <s v="Yes"/>
    <s v="No"/>
    <n v="14"/>
    <s v="Month-to-month"/>
    <s v="DSL"/>
    <s v="Credit card"/>
    <n v="60.44"/>
    <n v="825.84"/>
    <x v="0"/>
    <x v="3"/>
  </r>
  <r>
    <x v="129"/>
    <s v="Female"/>
    <x v="0"/>
    <s v="No"/>
    <s v="No"/>
    <n v="3"/>
    <s v="Month-to-month"/>
    <s v="DSL"/>
    <s v="Mailed check"/>
    <n v="70.11"/>
    <n v="285.61"/>
    <x v="0"/>
    <x v="2"/>
  </r>
  <r>
    <x v="130"/>
    <s v="Female"/>
    <x v="0"/>
    <s v="No"/>
    <s v="Yes"/>
    <n v="72"/>
    <s v="Month-to-month"/>
    <s v="Fiber optic"/>
    <s v="Credit card"/>
    <n v="105.76"/>
    <n v="7547.07"/>
    <x v="0"/>
    <x v="1"/>
  </r>
  <r>
    <x v="131"/>
    <s v="Male"/>
    <x v="0"/>
    <s v="Yes"/>
    <s v="Yes"/>
    <n v="26"/>
    <s v="Two year"/>
    <s v="Fiber optic"/>
    <s v="Electronic check"/>
    <n v="97.01"/>
    <n v="2419.58"/>
    <x v="1"/>
    <x v="4"/>
  </r>
  <r>
    <x v="132"/>
    <s v="Male"/>
    <x v="0"/>
    <s v="No"/>
    <s v="No"/>
    <n v="25"/>
    <s v="Month-to-month"/>
    <s v="DSL"/>
    <s v="Bank transfer"/>
    <n v="60.19"/>
    <n v="1541.06"/>
    <x v="1"/>
    <x v="4"/>
  </r>
  <r>
    <x v="133"/>
    <s v="Male"/>
    <x v="0"/>
    <s v="Yes"/>
    <s v="No"/>
    <n v="18"/>
    <s v="One year"/>
    <s v="No"/>
    <s v="Electronic check"/>
    <n v="62.95"/>
    <n v="1273.55"/>
    <x v="0"/>
    <x v="3"/>
  </r>
  <r>
    <x v="134"/>
    <s v="Male"/>
    <x v="1"/>
    <s v="No"/>
    <s v="No"/>
    <n v="16"/>
    <s v="Month-to-month"/>
    <s v="DSL"/>
    <s v="Bank transfer"/>
    <n v="101.41"/>
    <n v="1639.28"/>
    <x v="1"/>
    <x v="3"/>
  </r>
  <r>
    <x v="135"/>
    <s v="Male"/>
    <x v="0"/>
    <s v="Yes"/>
    <s v="No"/>
    <n v="42"/>
    <s v="Month-to-month"/>
    <s v="Fiber optic"/>
    <s v="Bank transfer"/>
    <n v="75"/>
    <n v="3216.13"/>
    <x v="0"/>
    <x v="5"/>
  </r>
  <r>
    <x v="136"/>
    <s v="Male"/>
    <x v="0"/>
    <s v="No"/>
    <s v="Yes"/>
    <n v="40"/>
    <s v="Month-to-month"/>
    <s v="Fiber optic"/>
    <s v="Bank transfer"/>
    <n v="72.28"/>
    <n v="3010.81"/>
    <x v="1"/>
    <x v="5"/>
  </r>
  <r>
    <x v="137"/>
    <s v="Male"/>
    <x v="0"/>
    <s v="No"/>
    <s v="No"/>
    <n v="41"/>
    <s v="Month-to-month"/>
    <s v="DSL"/>
    <s v="Electronic check"/>
    <n v="22.76"/>
    <n v="930.24"/>
    <x v="0"/>
    <x v="5"/>
  </r>
  <r>
    <x v="138"/>
    <s v="Male"/>
    <x v="0"/>
    <s v="Yes"/>
    <s v="Yes"/>
    <n v="49"/>
    <s v="Two year"/>
    <s v="Fiber optic"/>
    <s v="Electronic check"/>
    <n v="73.02"/>
    <n v="3565.81"/>
    <x v="0"/>
    <x v="0"/>
  </r>
  <r>
    <x v="139"/>
    <s v="Male"/>
    <x v="0"/>
    <s v="Yes"/>
    <s v="No"/>
    <n v="39"/>
    <s v="One year"/>
    <s v="Fiber optic"/>
    <s v="Electronic check"/>
    <n v="36.51"/>
    <n v="1461.66"/>
    <x v="0"/>
    <x v="5"/>
  </r>
  <r>
    <x v="140"/>
    <s v="Female"/>
    <x v="1"/>
    <s v="No"/>
    <s v="No"/>
    <n v="38"/>
    <s v="Month-to-month"/>
    <s v="Fiber optic"/>
    <s v="Bank transfer"/>
    <n v="77.14"/>
    <n v="2983.32"/>
    <x v="1"/>
    <x v="5"/>
  </r>
  <r>
    <x v="141"/>
    <s v="Male"/>
    <x v="0"/>
    <s v="Yes"/>
    <s v="No"/>
    <n v="22"/>
    <s v="Two year"/>
    <s v="DSL"/>
    <s v="Credit card"/>
    <n v="94.7"/>
    <n v="1971.48"/>
    <x v="0"/>
    <x v="3"/>
  </r>
  <r>
    <x v="142"/>
    <s v="Female"/>
    <x v="0"/>
    <s v="Yes"/>
    <s v="No"/>
    <n v="51"/>
    <s v="Month-to-month"/>
    <s v="DSL"/>
    <s v="Electronic check"/>
    <n v="20"/>
    <n v="1043.6600000000001"/>
    <x v="0"/>
    <x v="0"/>
  </r>
  <r>
    <x v="143"/>
    <s v="Female"/>
    <x v="0"/>
    <s v="Yes"/>
    <s v="No"/>
    <n v="46"/>
    <s v="Two year"/>
    <s v="DSL"/>
    <s v="Bank transfer"/>
    <n v="100.86"/>
    <n v="4639.51"/>
    <x v="0"/>
    <x v="5"/>
  </r>
  <r>
    <x v="144"/>
    <s v="Female"/>
    <x v="1"/>
    <s v="Yes"/>
    <s v="No"/>
    <n v="62"/>
    <s v="Month-to-month"/>
    <s v="Fiber optic"/>
    <s v="Credit card"/>
    <n v="71.739999999999995"/>
    <n v="4384.72"/>
    <x v="0"/>
    <x v="1"/>
  </r>
  <r>
    <x v="145"/>
    <s v="Male"/>
    <x v="0"/>
    <s v="No"/>
    <s v="No"/>
    <n v="68"/>
    <s v="Month-to-month"/>
    <s v="Fiber optic"/>
    <s v="Mailed check"/>
    <n v="79.319999999999993"/>
    <n v="5388.18"/>
    <x v="0"/>
    <x v="1"/>
  </r>
  <r>
    <x v="146"/>
    <s v="Male"/>
    <x v="0"/>
    <s v="No"/>
    <s v="No"/>
    <n v="42"/>
    <s v="Month-to-month"/>
    <s v="Fiber optic"/>
    <s v="Bank transfer"/>
    <n v="67.44"/>
    <n v="2739.25"/>
    <x v="0"/>
    <x v="5"/>
  </r>
  <r>
    <x v="147"/>
    <s v="Male"/>
    <x v="0"/>
    <s v="Yes"/>
    <s v="No"/>
    <n v="47"/>
    <s v="Month-to-month"/>
    <s v="Fiber optic"/>
    <s v="Credit card"/>
    <n v="37.17"/>
    <n v="1626.12"/>
    <x v="1"/>
    <x v="5"/>
  </r>
  <r>
    <x v="148"/>
    <s v="Male"/>
    <x v="0"/>
    <s v="Yes"/>
    <s v="No"/>
    <n v="33"/>
    <s v="Month-to-month"/>
    <s v="No"/>
    <s v="Electronic check"/>
    <n v="35.43"/>
    <n v="1174.54"/>
    <x v="0"/>
    <x v="4"/>
  </r>
  <r>
    <x v="149"/>
    <s v="Female"/>
    <x v="0"/>
    <s v="Yes"/>
    <s v="No"/>
    <n v="39"/>
    <s v="One year"/>
    <s v="Fiber optic"/>
    <s v="Electronic check"/>
    <n v="132.44"/>
    <n v="5237.33"/>
    <x v="0"/>
    <x v="5"/>
  </r>
  <r>
    <x v="150"/>
    <s v="Male"/>
    <x v="1"/>
    <s v="Yes"/>
    <s v="No"/>
    <n v="60"/>
    <s v="Two year"/>
    <s v="DSL"/>
    <s v="Electronic check"/>
    <n v="42.6"/>
    <n v="2528.2199999999998"/>
    <x v="0"/>
    <x v="0"/>
  </r>
  <r>
    <x v="151"/>
    <s v="Male"/>
    <x v="0"/>
    <s v="No"/>
    <s v="Yes"/>
    <n v="49"/>
    <s v="One year"/>
    <s v="DSL"/>
    <s v="Credit card"/>
    <n v="30.29"/>
    <n v="1407.35"/>
    <x v="0"/>
    <x v="0"/>
  </r>
  <r>
    <x v="152"/>
    <s v="Male"/>
    <x v="0"/>
    <s v="No"/>
    <s v="No"/>
    <n v="66"/>
    <s v="Month-to-month"/>
    <s v="Fiber optic"/>
    <s v="Credit card"/>
    <n v="83.53"/>
    <n v="5448.56"/>
    <x v="0"/>
    <x v="1"/>
  </r>
  <r>
    <x v="153"/>
    <s v="Male"/>
    <x v="0"/>
    <s v="Yes"/>
    <s v="No"/>
    <n v="61"/>
    <s v="Month-to-month"/>
    <s v="DSL"/>
    <s v="Bank transfer"/>
    <n v="67.86"/>
    <n v="4183.38"/>
    <x v="0"/>
    <x v="1"/>
  </r>
  <r>
    <x v="154"/>
    <s v="Male"/>
    <x v="0"/>
    <s v="Yes"/>
    <s v="Yes"/>
    <n v="57"/>
    <s v="Month-to-month"/>
    <s v="DSL"/>
    <s v="Electronic check"/>
    <n v="61.92"/>
    <n v="3662.83"/>
    <x v="1"/>
    <x v="0"/>
  </r>
  <r>
    <x v="155"/>
    <s v="Female"/>
    <x v="1"/>
    <s v="Yes"/>
    <s v="Yes"/>
    <n v="32"/>
    <s v="Month-to-month"/>
    <s v="Fiber optic"/>
    <s v="Mailed check"/>
    <n v="80.36"/>
    <n v="2633.16"/>
    <x v="0"/>
    <x v="4"/>
  </r>
  <r>
    <x v="156"/>
    <s v="Male"/>
    <x v="0"/>
    <s v="No"/>
    <s v="Yes"/>
    <n v="15"/>
    <s v="One year"/>
    <s v="Fiber optic"/>
    <s v="Electronic check"/>
    <n v="96.11"/>
    <n v="1545.71"/>
    <x v="0"/>
    <x v="3"/>
  </r>
  <r>
    <x v="157"/>
    <s v="Female"/>
    <x v="0"/>
    <s v="Yes"/>
    <s v="No"/>
    <n v="47"/>
    <s v="Month-to-month"/>
    <s v="DSL"/>
    <s v="Electronic check"/>
    <n v="55.32"/>
    <n v="2516.23"/>
    <x v="0"/>
    <x v="5"/>
  </r>
  <r>
    <x v="158"/>
    <s v="Male"/>
    <x v="0"/>
    <s v="No"/>
    <s v="No"/>
    <n v="9"/>
    <s v="Month-to-month"/>
    <s v="Fiber optic"/>
    <s v="Bank transfer"/>
    <n v="84.86"/>
    <n v="757.83"/>
    <x v="1"/>
    <x v="2"/>
  </r>
  <r>
    <x v="159"/>
    <s v="Female"/>
    <x v="0"/>
    <s v="Yes"/>
    <s v="No"/>
    <n v="37"/>
    <s v="Month-to-month"/>
    <s v="Fiber optic"/>
    <s v="Credit card"/>
    <n v="105.6"/>
    <n v="3988.7"/>
    <x v="0"/>
    <x v="5"/>
  </r>
  <r>
    <x v="160"/>
    <s v="Male"/>
    <x v="0"/>
    <s v="No"/>
    <s v="No"/>
    <n v="18"/>
    <s v="Two year"/>
    <s v="Fiber optic"/>
    <s v="Credit card"/>
    <n v="55.12"/>
    <n v="880.23"/>
    <x v="0"/>
    <x v="3"/>
  </r>
  <r>
    <x v="161"/>
    <s v="Male"/>
    <x v="0"/>
    <s v="Yes"/>
    <s v="No"/>
    <n v="35"/>
    <s v="Month-to-month"/>
    <s v="DSL"/>
    <s v="Bank transfer"/>
    <n v="20"/>
    <n v="647.33000000000004"/>
    <x v="0"/>
    <x v="4"/>
  </r>
  <r>
    <x v="162"/>
    <s v="Female"/>
    <x v="0"/>
    <s v="No"/>
    <s v="No"/>
    <n v="58"/>
    <s v="Month-to-month"/>
    <s v="DSL"/>
    <s v="Electronic check"/>
    <n v="86.77"/>
    <n v="5108.0200000000004"/>
    <x v="0"/>
    <x v="0"/>
  </r>
  <r>
    <x v="163"/>
    <s v="Female"/>
    <x v="0"/>
    <s v="Yes"/>
    <s v="No"/>
    <n v="62"/>
    <s v="Month-to-month"/>
    <s v="Fiber optic"/>
    <s v="Electronic check"/>
    <n v="140"/>
    <n v="8700.67"/>
    <x v="0"/>
    <x v="1"/>
  </r>
  <r>
    <x v="164"/>
    <s v="Female"/>
    <x v="1"/>
    <s v="Yes"/>
    <s v="No"/>
    <n v="45"/>
    <s v="Month-to-month"/>
    <s v="Fiber optic"/>
    <s v="Electronic check"/>
    <n v="79.819999999999993"/>
    <n v="3514.69"/>
    <x v="0"/>
    <x v="5"/>
  </r>
  <r>
    <x v="165"/>
    <s v="Male"/>
    <x v="1"/>
    <s v="Yes"/>
    <s v="No"/>
    <n v="2"/>
    <s v="Month-to-month"/>
    <s v="No"/>
    <s v="Bank transfer"/>
    <n v="60.05"/>
    <n v="30.024999999999999"/>
    <x v="0"/>
    <x v="2"/>
  </r>
  <r>
    <x v="166"/>
    <s v="Female"/>
    <x v="0"/>
    <s v="No"/>
    <s v="No"/>
    <n v="64"/>
    <s v="Month-to-month"/>
    <s v="Fiber optic"/>
    <s v="Credit card"/>
    <n v="72.599999999999994"/>
    <n v="4753.3900000000003"/>
    <x v="0"/>
    <x v="1"/>
  </r>
  <r>
    <x v="167"/>
    <s v="Male"/>
    <x v="0"/>
    <s v="Yes"/>
    <s v="Yes"/>
    <n v="7"/>
    <s v="One year"/>
    <s v="DSL"/>
    <s v="Mailed check"/>
    <n v="109.7"/>
    <n v="603.63"/>
    <x v="0"/>
    <x v="2"/>
  </r>
  <r>
    <x v="168"/>
    <s v="Male"/>
    <x v="0"/>
    <s v="No"/>
    <s v="No"/>
    <n v="50"/>
    <s v="Month-to-month"/>
    <s v="DSL"/>
    <s v="Mailed check"/>
    <n v="68.06"/>
    <n v="3453.59"/>
    <x v="0"/>
    <x v="0"/>
  </r>
  <r>
    <x v="169"/>
    <s v="Female"/>
    <x v="0"/>
    <s v="No"/>
    <s v="No"/>
    <n v="72"/>
    <s v="One year"/>
    <s v="Fiber optic"/>
    <s v="Electronic check"/>
    <n v="75.34"/>
    <n v="5381.84"/>
    <x v="0"/>
    <x v="1"/>
  </r>
  <r>
    <x v="170"/>
    <s v="Female"/>
    <x v="0"/>
    <s v="Yes"/>
    <s v="No"/>
    <n v="5"/>
    <s v="Two year"/>
    <s v="DSL"/>
    <s v="Electronic check"/>
    <n v="92.77"/>
    <n v="547.62"/>
    <x v="0"/>
    <x v="2"/>
  </r>
  <r>
    <x v="171"/>
    <s v="Male"/>
    <x v="0"/>
    <s v="Yes"/>
    <s v="Yes"/>
    <n v="38"/>
    <s v="One year"/>
    <s v="DSL"/>
    <s v="Mailed check"/>
    <n v="57.89"/>
    <n v="2116.4499999999998"/>
    <x v="0"/>
    <x v="5"/>
  </r>
  <r>
    <x v="172"/>
    <s v="Male"/>
    <x v="1"/>
    <s v="Yes"/>
    <s v="Yes"/>
    <n v="59"/>
    <s v="Month-to-month"/>
    <s v="Fiber optic"/>
    <s v="Electronic check"/>
    <n v="47.88"/>
    <n v="3034.1"/>
    <x v="1"/>
    <x v="0"/>
  </r>
  <r>
    <x v="173"/>
    <s v="Female"/>
    <x v="0"/>
    <s v="No"/>
    <s v="No"/>
    <n v="27"/>
    <s v="Month-to-month"/>
    <s v="DSL"/>
    <s v="Mailed check"/>
    <n v="92.06"/>
    <n v="2517.8000000000002"/>
    <x v="1"/>
    <x v="4"/>
  </r>
  <r>
    <x v="174"/>
    <s v="Female"/>
    <x v="0"/>
    <s v="Yes"/>
    <s v="Yes"/>
    <n v="53"/>
    <s v="One year"/>
    <s v="DSL"/>
    <s v="Credit card"/>
    <n v="55.21"/>
    <n v="2971.5"/>
    <x v="0"/>
    <x v="0"/>
  </r>
  <r>
    <x v="175"/>
    <s v="Female"/>
    <x v="0"/>
    <s v="No"/>
    <s v="No"/>
    <n v="36"/>
    <s v="One year"/>
    <s v="Fiber optic"/>
    <s v="Bank transfer"/>
    <n v="55.61"/>
    <n v="1940.12"/>
    <x v="0"/>
    <x v="4"/>
  </r>
  <r>
    <x v="176"/>
    <s v="Male"/>
    <x v="1"/>
    <s v="No"/>
    <s v="Yes"/>
    <n v="8"/>
    <s v="Month-to-month"/>
    <s v="DSL"/>
    <s v="Electronic check"/>
    <n v="122.5"/>
    <n v="969.33"/>
    <x v="1"/>
    <x v="2"/>
  </r>
  <r>
    <x v="177"/>
    <s v="Male"/>
    <x v="0"/>
    <s v="Yes"/>
    <s v="No"/>
    <n v="55"/>
    <s v="One year"/>
    <s v="DSL"/>
    <s v="Electronic check"/>
    <n v="65.540000000000006"/>
    <n v="3596.1"/>
    <x v="0"/>
    <x v="0"/>
  </r>
  <r>
    <x v="178"/>
    <s v="Male"/>
    <x v="0"/>
    <s v="Yes"/>
    <s v="No"/>
    <n v="58"/>
    <s v="Month-to-month"/>
    <s v="Fiber optic"/>
    <s v="Mailed check"/>
    <n v="92.36"/>
    <n v="5500.57"/>
    <x v="0"/>
    <x v="0"/>
  </r>
  <r>
    <x v="179"/>
    <s v="Male"/>
    <x v="0"/>
    <s v="Yes"/>
    <s v="No"/>
    <n v="1"/>
    <s v="Month-to-month"/>
    <s v="Fiber optic"/>
    <s v="Mailed check"/>
    <n v="80.739999999999995"/>
    <n v="112.79"/>
    <x v="1"/>
    <x v="2"/>
  </r>
  <r>
    <x v="180"/>
    <s v="Male"/>
    <x v="0"/>
    <s v="Yes"/>
    <s v="No"/>
    <n v="60"/>
    <s v="Month-to-month"/>
    <s v="DSL"/>
    <s v="Mailed check"/>
    <n v="47.84"/>
    <n v="2913.91"/>
    <x v="0"/>
    <x v="0"/>
  </r>
  <r>
    <x v="181"/>
    <s v="Male"/>
    <x v="0"/>
    <s v="Yes"/>
    <s v="Yes"/>
    <n v="57"/>
    <s v="Month-to-month"/>
    <s v="Fiber optic"/>
    <s v="Mailed check"/>
    <n v="97.24"/>
    <n v="5585.29"/>
    <x v="0"/>
    <x v="0"/>
  </r>
  <r>
    <x v="182"/>
    <s v="Female"/>
    <x v="0"/>
    <s v="Yes"/>
    <s v="Yes"/>
    <n v="59"/>
    <s v="Month-to-month"/>
    <s v="Fiber optic"/>
    <s v="Bank transfer"/>
    <n v="87.86"/>
    <n v="5234.03"/>
    <x v="0"/>
    <x v="0"/>
  </r>
  <r>
    <x v="183"/>
    <s v="Male"/>
    <x v="0"/>
    <s v="No"/>
    <s v="No"/>
    <n v="39"/>
    <s v="One year"/>
    <s v="Fiber optic"/>
    <s v="Credit card"/>
    <n v="63.52"/>
    <n v="2366.12"/>
    <x v="0"/>
    <x v="5"/>
  </r>
  <r>
    <x v="184"/>
    <s v="Male"/>
    <x v="0"/>
    <s v="No"/>
    <s v="No"/>
    <n v="35"/>
    <s v="Month-to-month"/>
    <s v="No"/>
    <s v="Electronic check"/>
    <n v="65.83"/>
    <n v="2467.9899999999998"/>
    <x v="1"/>
    <x v="4"/>
  </r>
  <r>
    <x v="185"/>
    <s v="Male"/>
    <x v="0"/>
    <s v="No"/>
    <s v="No"/>
    <n v="36"/>
    <s v="Month-to-month"/>
    <s v="Fiber optic"/>
    <s v="Credit card"/>
    <n v="67.14"/>
    <n v="2346.84"/>
    <x v="1"/>
    <x v="4"/>
  </r>
  <r>
    <x v="186"/>
    <s v="Female"/>
    <x v="0"/>
    <s v="Yes"/>
    <s v="No"/>
    <n v="17"/>
    <s v="Month-to-month"/>
    <s v="Fiber optic"/>
    <s v="Electronic check"/>
    <n v="52.39"/>
    <n v="887.56"/>
    <x v="1"/>
    <x v="3"/>
  </r>
  <r>
    <x v="187"/>
    <s v="Male"/>
    <x v="0"/>
    <s v="No"/>
    <s v="No"/>
    <n v="62"/>
    <s v="Month-to-month"/>
    <s v="DSL"/>
    <s v="Electronic check"/>
    <n v="39.86"/>
    <n v="2593.84"/>
    <x v="0"/>
    <x v="1"/>
  </r>
  <r>
    <x v="188"/>
    <s v="Male"/>
    <x v="0"/>
    <s v="No"/>
    <s v="No"/>
    <n v="21"/>
    <s v="Month-to-month"/>
    <s v="DSL"/>
    <s v="Mailed check"/>
    <n v="76.75"/>
    <n v="1766.52"/>
    <x v="0"/>
    <x v="3"/>
  </r>
  <r>
    <x v="189"/>
    <s v="Female"/>
    <x v="0"/>
    <s v="No"/>
    <s v="No"/>
    <n v="10"/>
    <s v="One year"/>
    <s v="No"/>
    <s v="Bank transfer"/>
    <n v="45.43"/>
    <n v="518.78"/>
    <x v="0"/>
    <x v="2"/>
  </r>
  <r>
    <x v="190"/>
    <s v="Male"/>
    <x v="0"/>
    <s v="No"/>
    <s v="Yes"/>
    <n v="57"/>
    <s v="One year"/>
    <s v="Fiber optic"/>
    <s v="Credit card"/>
    <n v="117.54"/>
    <n v="6659.4"/>
    <x v="0"/>
    <x v="0"/>
  </r>
  <r>
    <x v="191"/>
    <s v="Male"/>
    <x v="0"/>
    <s v="No"/>
    <s v="No"/>
    <n v="56"/>
    <s v="One year"/>
    <s v="DSL"/>
    <s v="Bank transfer"/>
    <n v="68.930000000000007"/>
    <n v="3870.3"/>
    <x v="0"/>
    <x v="0"/>
  </r>
  <r>
    <x v="192"/>
    <s v="Male"/>
    <x v="0"/>
    <s v="Yes"/>
    <s v="No"/>
    <n v="3"/>
    <s v="One year"/>
    <s v="Fiber optic"/>
    <s v="Credit card"/>
    <n v="60.37"/>
    <n v="194.47"/>
    <x v="0"/>
    <x v="2"/>
  </r>
  <r>
    <x v="193"/>
    <s v="Male"/>
    <x v="0"/>
    <s v="Yes"/>
    <s v="No"/>
    <n v="6"/>
    <s v="Month-to-month"/>
    <s v="Fiber optic"/>
    <s v="Credit card"/>
    <n v="83.95"/>
    <n v="519.89"/>
    <x v="0"/>
    <x v="2"/>
  </r>
  <r>
    <x v="194"/>
    <s v="Male"/>
    <x v="1"/>
    <s v="No"/>
    <s v="Yes"/>
    <n v="60"/>
    <s v="Month-to-month"/>
    <s v="No"/>
    <s v="Bank transfer"/>
    <n v="22.64"/>
    <n v="1260"/>
    <x v="0"/>
    <x v="0"/>
  </r>
  <r>
    <x v="195"/>
    <s v="Female"/>
    <x v="0"/>
    <s v="No"/>
    <s v="No"/>
    <n v="53"/>
    <s v="Month-to-month"/>
    <s v="DSL"/>
    <s v="Mailed check"/>
    <n v="67.900000000000006"/>
    <n v="3699.51"/>
    <x v="0"/>
    <x v="0"/>
  </r>
  <r>
    <x v="196"/>
    <s v="Female"/>
    <x v="0"/>
    <s v="No"/>
    <s v="No"/>
    <n v="67"/>
    <s v="Month-to-month"/>
    <s v="No"/>
    <s v="Mailed check"/>
    <n v="62.98"/>
    <n v="4230.43"/>
    <x v="0"/>
    <x v="1"/>
  </r>
  <r>
    <x v="197"/>
    <s v="Female"/>
    <x v="0"/>
    <s v="Yes"/>
    <s v="No"/>
    <n v="0"/>
    <s v="Two year"/>
    <s v="DSL"/>
    <s v="Credit card"/>
    <n v="74.89"/>
    <n v="37.445"/>
    <x v="1"/>
    <x v="6"/>
  </r>
  <r>
    <x v="198"/>
    <s v="Male"/>
    <x v="1"/>
    <s v="Yes"/>
    <s v="No"/>
    <n v="54"/>
    <s v="Month-to-month"/>
    <s v="DSL"/>
    <s v="Bank transfer"/>
    <n v="102.57"/>
    <n v="5498.91"/>
    <x v="1"/>
    <x v="0"/>
  </r>
  <r>
    <x v="199"/>
    <s v="Male"/>
    <x v="0"/>
    <s v="No"/>
    <s v="No"/>
    <n v="2"/>
    <s v="Month-to-month"/>
    <s v="Fiber optic"/>
    <s v="Electronic check"/>
    <n v="140"/>
    <n v="301.58999999999997"/>
    <x v="0"/>
    <x v="2"/>
  </r>
  <r>
    <x v="200"/>
    <s v="Male"/>
    <x v="0"/>
    <s v="Yes"/>
    <s v="No"/>
    <n v="37"/>
    <s v="Two year"/>
    <s v="DSL"/>
    <s v="Bank transfer"/>
    <n v="86.78"/>
    <n v="3098.63"/>
    <x v="1"/>
    <x v="5"/>
  </r>
  <r>
    <x v="201"/>
    <s v="Female"/>
    <x v="1"/>
    <s v="Yes"/>
    <s v="Yes"/>
    <n v="0"/>
    <s v="Two year"/>
    <s v="DSL"/>
    <s v="Electronic check"/>
    <n v="99.47"/>
    <n v="70.27"/>
    <x v="0"/>
    <x v="6"/>
  </r>
  <r>
    <x v="202"/>
    <s v="Male"/>
    <x v="0"/>
    <s v="No"/>
    <s v="No"/>
    <n v="37"/>
    <s v="One year"/>
    <s v="Fiber optic"/>
    <s v="Mailed check"/>
    <n v="140"/>
    <n v="5198.78"/>
    <x v="0"/>
    <x v="5"/>
  </r>
  <r>
    <x v="203"/>
    <s v="Male"/>
    <x v="1"/>
    <s v="Yes"/>
    <s v="Yes"/>
    <n v="28"/>
    <s v="Month-to-month"/>
    <s v="DSL"/>
    <s v="Electronic check"/>
    <n v="44.84"/>
    <n v="1380.78"/>
    <x v="1"/>
    <x v="4"/>
  </r>
  <r>
    <x v="204"/>
    <s v="Female"/>
    <x v="1"/>
    <s v="Yes"/>
    <s v="No"/>
    <n v="4"/>
    <s v="Month-to-month"/>
    <s v="DSL"/>
    <s v="Bank transfer"/>
    <n v="73.27"/>
    <n v="299.29000000000002"/>
    <x v="1"/>
    <x v="2"/>
  </r>
  <r>
    <x v="205"/>
    <s v="Male"/>
    <x v="0"/>
    <s v="No"/>
    <s v="No"/>
    <n v="20"/>
    <s v="Month-to-month"/>
    <s v="DSL"/>
    <s v="Credit card"/>
    <n v="58.05"/>
    <n v="1074.18"/>
    <x v="0"/>
    <x v="3"/>
  </r>
  <r>
    <x v="206"/>
    <s v="Female"/>
    <x v="0"/>
    <s v="Yes"/>
    <s v="Yes"/>
    <n v="70"/>
    <s v="Month-to-month"/>
    <s v="Fiber optic"/>
    <s v="Electronic check"/>
    <n v="101.07"/>
    <n v="6979.08"/>
    <x v="0"/>
    <x v="1"/>
  </r>
  <r>
    <x v="207"/>
    <s v="Female"/>
    <x v="0"/>
    <s v="Yes"/>
    <s v="No"/>
    <n v="66"/>
    <s v="Month-to-month"/>
    <s v="Fiber optic"/>
    <s v="Electronic check"/>
    <n v="86.79"/>
    <n v="5696.88"/>
    <x v="0"/>
    <x v="1"/>
  </r>
  <r>
    <x v="208"/>
    <s v="Female"/>
    <x v="0"/>
    <s v="No"/>
    <s v="Yes"/>
    <n v="46"/>
    <s v="Month-to-month"/>
    <s v="Fiber optic"/>
    <s v="Electronic check"/>
    <n v="59.54"/>
    <n v="2716.05"/>
    <x v="0"/>
    <x v="5"/>
  </r>
  <r>
    <x v="209"/>
    <s v="Male"/>
    <x v="0"/>
    <s v="Yes"/>
    <s v="No"/>
    <n v="34"/>
    <s v="Two year"/>
    <s v="Fiber optic"/>
    <s v="Bank transfer"/>
    <n v="80.27"/>
    <n v="2683.8"/>
    <x v="0"/>
    <x v="4"/>
  </r>
  <r>
    <x v="210"/>
    <s v="Male"/>
    <x v="0"/>
    <s v="Yes"/>
    <s v="No"/>
    <n v="67"/>
    <s v="Month-to-month"/>
    <s v="Fiber optic"/>
    <s v="Electronic check"/>
    <n v="106.17"/>
    <n v="7123.67"/>
    <x v="0"/>
    <x v="1"/>
  </r>
  <r>
    <x v="211"/>
    <s v="Male"/>
    <x v="0"/>
    <s v="No"/>
    <s v="No"/>
    <n v="68"/>
    <s v="One year"/>
    <s v="Fiber optic"/>
    <s v="Electronic check"/>
    <n v="47.41"/>
    <n v="3176.47"/>
    <x v="0"/>
    <x v="1"/>
  </r>
  <r>
    <x v="212"/>
    <s v="Male"/>
    <x v="0"/>
    <s v="No"/>
    <s v="Yes"/>
    <n v="0"/>
    <s v="One year"/>
    <s v="DSL"/>
    <s v="Electronic check"/>
    <n v="50.07"/>
    <n v="25.035"/>
    <x v="0"/>
    <x v="6"/>
  </r>
  <r>
    <x v="213"/>
    <s v="Male"/>
    <x v="0"/>
    <s v="No"/>
    <s v="No"/>
    <n v="67"/>
    <s v="Month-to-month"/>
    <s v="DSL"/>
    <s v="Mailed check"/>
    <n v="46.32"/>
    <n v="3061.79"/>
    <x v="0"/>
    <x v="1"/>
  </r>
  <r>
    <x v="214"/>
    <s v="Male"/>
    <x v="0"/>
    <s v="Yes"/>
    <s v="No"/>
    <n v="11"/>
    <s v="One year"/>
    <s v="Fiber optic"/>
    <s v="Electronic check"/>
    <n v="88.16"/>
    <n v="1020.3"/>
    <x v="0"/>
    <x v="2"/>
  </r>
  <r>
    <x v="215"/>
    <s v="Male"/>
    <x v="0"/>
    <s v="No"/>
    <s v="No"/>
    <n v="59"/>
    <s v="Month-to-month"/>
    <s v="Fiber optic"/>
    <s v="Bank transfer"/>
    <n v="111.01"/>
    <n v="6524.78"/>
    <x v="0"/>
    <x v="0"/>
  </r>
  <r>
    <x v="216"/>
    <s v="Female"/>
    <x v="0"/>
    <s v="Yes"/>
    <s v="No"/>
    <n v="26"/>
    <s v="Month-to-month"/>
    <s v="No"/>
    <s v="Electronic check"/>
    <n v="20"/>
    <n v="619.70000000000005"/>
    <x v="0"/>
    <x v="4"/>
  </r>
  <r>
    <x v="217"/>
    <s v="Male"/>
    <x v="0"/>
    <s v="No"/>
    <s v="Yes"/>
    <n v="55"/>
    <s v="One year"/>
    <s v="Fiber optic"/>
    <s v="Bank transfer"/>
    <n v="82.36"/>
    <n v="4581.9799999999996"/>
    <x v="1"/>
    <x v="0"/>
  </r>
  <r>
    <x v="218"/>
    <s v="Female"/>
    <x v="1"/>
    <s v="Yes"/>
    <s v="No"/>
    <n v="22"/>
    <s v="Month-to-month"/>
    <s v="Fiber optic"/>
    <s v="Electronic check"/>
    <n v="56.89"/>
    <n v="1267.07"/>
    <x v="0"/>
    <x v="3"/>
  </r>
  <r>
    <x v="219"/>
    <s v="Male"/>
    <x v="0"/>
    <s v="No"/>
    <s v="Yes"/>
    <n v="24"/>
    <s v="Two year"/>
    <s v="Fiber optic"/>
    <s v="Mailed check"/>
    <n v="105.14"/>
    <n v="2506.75"/>
    <x v="0"/>
    <x v="3"/>
  </r>
  <r>
    <x v="220"/>
    <s v="Male"/>
    <x v="0"/>
    <s v="No"/>
    <s v="No"/>
    <n v="20"/>
    <s v="Month-to-month"/>
    <s v="Fiber optic"/>
    <s v="Electronic check"/>
    <n v="74.08"/>
    <n v="1360.08"/>
    <x v="0"/>
    <x v="3"/>
  </r>
  <r>
    <x v="221"/>
    <s v="Male"/>
    <x v="0"/>
    <s v="No"/>
    <s v="No"/>
    <n v="60"/>
    <s v="One year"/>
    <s v="Fiber optic"/>
    <s v="Bank transfer"/>
    <n v="83.27"/>
    <n v="5109.28"/>
    <x v="0"/>
    <x v="0"/>
  </r>
  <r>
    <x v="222"/>
    <s v="Female"/>
    <x v="1"/>
    <s v="No"/>
    <s v="Yes"/>
    <n v="62"/>
    <s v="Month-to-month"/>
    <s v="Fiber optic"/>
    <s v="Credit card"/>
    <n v="79.97"/>
    <n v="4903.68"/>
    <x v="0"/>
    <x v="1"/>
  </r>
  <r>
    <x v="223"/>
    <s v="Female"/>
    <x v="0"/>
    <s v="Yes"/>
    <s v="Yes"/>
    <n v="51"/>
    <s v="Month-to-month"/>
    <s v="Fiber optic"/>
    <s v="Credit card"/>
    <n v="108.11"/>
    <n v="5520.87"/>
    <x v="0"/>
    <x v="0"/>
  </r>
  <r>
    <x v="224"/>
    <s v="Female"/>
    <x v="0"/>
    <s v="No"/>
    <s v="Yes"/>
    <n v="24"/>
    <s v="Month-to-month"/>
    <s v="No"/>
    <s v="Bank transfer"/>
    <n v="106.22"/>
    <n v="2576.7800000000002"/>
    <x v="1"/>
    <x v="3"/>
  </r>
  <r>
    <x v="225"/>
    <s v="Female"/>
    <x v="0"/>
    <s v="No"/>
    <s v="No"/>
    <n v="54"/>
    <s v="One year"/>
    <s v="DSL"/>
    <s v="Mailed check"/>
    <n v="41.63"/>
    <n v="2233.34"/>
    <x v="0"/>
    <x v="0"/>
  </r>
  <r>
    <x v="226"/>
    <s v="Male"/>
    <x v="1"/>
    <s v="Yes"/>
    <s v="No"/>
    <n v="45"/>
    <s v="Two year"/>
    <s v="DSL"/>
    <s v="Credit card"/>
    <n v="46.19"/>
    <n v="2186.92"/>
    <x v="0"/>
    <x v="5"/>
  </r>
  <r>
    <x v="227"/>
    <s v="Female"/>
    <x v="0"/>
    <s v="No"/>
    <s v="No"/>
    <n v="31"/>
    <s v="Two year"/>
    <s v="Fiber optic"/>
    <s v="Bank transfer"/>
    <n v="88.04"/>
    <n v="2631.53"/>
    <x v="0"/>
    <x v="4"/>
  </r>
  <r>
    <x v="228"/>
    <s v="Male"/>
    <x v="0"/>
    <s v="Yes"/>
    <s v="Yes"/>
    <n v="54"/>
    <s v="Month-to-month"/>
    <s v="Fiber optic"/>
    <s v="Electronic check"/>
    <n v="59.59"/>
    <n v="3356.57"/>
    <x v="0"/>
    <x v="0"/>
  </r>
  <r>
    <x v="229"/>
    <s v="Male"/>
    <x v="0"/>
    <s v="No"/>
    <s v="Yes"/>
    <n v="4"/>
    <s v="One year"/>
    <s v="No"/>
    <s v="Credit card"/>
    <n v="78.34"/>
    <n v="367.08"/>
    <x v="0"/>
    <x v="2"/>
  </r>
  <r>
    <x v="230"/>
    <s v="Female"/>
    <x v="0"/>
    <s v="No"/>
    <s v="No"/>
    <n v="35"/>
    <s v="One year"/>
    <s v="DSL"/>
    <s v="Mailed check"/>
    <n v="97.35"/>
    <n v="3387.54"/>
    <x v="0"/>
    <x v="4"/>
  </r>
  <r>
    <x v="231"/>
    <s v="Female"/>
    <x v="0"/>
    <s v="No"/>
    <s v="Yes"/>
    <n v="48"/>
    <s v="One year"/>
    <s v="Fiber optic"/>
    <s v="Electronic check"/>
    <n v="66.34"/>
    <n v="3165.5"/>
    <x v="0"/>
    <x v="5"/>
  </r>
  <r>
    <x v="232"/>
    <s v="Female"/>
    <x v="0"/>
    <s v="Yes"/>
    <s v="No"/>
    <n v="57"/>
    <s v="Month-to-month"/>
    <s v="Fiber optic"/>
    <s v="Electronic check"/>
    <n v="60.91"/>
    <n v="3294.52"/>
    <x v="0"/>
    <x v="0"/>
  </r>
  <r>
    <x v="233"/>
    <s v="Female"/>
    <x v="0"/>
    <s v="No"/>
    <s v="No"/>
    <n v="38"/>
    <s v="One year"/>
    <s v="Fiber optic"/>
    <s v="Electronic check"/>
    <n v="73.13"/>
    <n v="2711.08"/>
    <x v="1"/>
    <x v="5"/>
  </r>
  <r>
    <x v="234"/>
    <s v="Female"/>
    <x v="0"/>
    <s v="No"/>
    <s v="No"/>
    <n v="60"/>
    <s v="Two year"/>
    <s v="No"/>
    <s v="Mailed check"/>
    <n v="57.6"/>
    <n v="3427.69"/>
    <x v="0"/>
    <x v="0"/>
  </r>
  <r>
    <x v="235"/>
    <s v="Female"/>
    <x v="0"/>
    <s v="No"/>
    <s v="No"/>
    <n v="8"/>
    <s v="Month-to-month"/>
    <s v="DSL"/>
    <s v="Electronic check"/>
    <n v="77.87"/>
    <n v="637.04999999999995"/>
    <x v="1"/>
    <x v="2"/>
  </r>
  <r>
    <x v="236"/>
    <s v="Female"/>
    <x v="0"/>
    <s v="Yes"/>
    <s v="No"/>
    <n v="5"/>
    <s v="Two year"/>
    <s v="Fiber optic"/>
    <s v="Electronic check"/>
    <n v="23.68"/>
    <n v="219.17"/>
    <x v="0"/>
    <x v="2"/>
  </r>
  <r>
    <x v="237"/>
    <s v="Female"/>
    <x v="0"/>
    <s v="Yes"/>
    <s v="Yes"/>
    <n v="34"/>
    <s v="One year"/>
    <s v="No"/>
    <s v="Electronic check"/>
    <n v="30.81"/>
    <n v="1210.54"/>
    <x v="1"/>
    <x v="4"/>
  </r>
  <r>
    <x v="238"/>
    <s v="Male"/>
    <x v="0"/>
    <s v="No"/>
    <s v="Yes"/>
    <n v="38"/>
    <s v="Month-to-month"/>
    <s v="No"/>
    <s v="Bank transfer"/>
    <n v="44.9"/>
    <n v="1727.98"/>
    <x v="0"/>
    <x v="5"/>
  </r>
  <r>
    <x v="239"/>
    <s v="Female"/>
    <x v="0"/>
    <s v="Yes"/>
    <s v="Yes"/>
    <n v="21"/>
    <s v="Month-to-month"/>
    <s v="Fiber optic"/>
    <s v="Bank transfer"/>
    <n v="60.08"/>
    <n v="1278.1300000000001"/>
    <x v="0"/>
    <x v="3"/>
  </r>
  <r>
    <x v="240"/>
    <s v="Female"/>
    <x v="0"/>
    <s v="No"/>
    <s v="No"/>
    <n v="40"/>
    <s v="Month-to-month"/>
    <s v="Fiber optic"/>
    <s v="Electronic check"/>
    <n v="20"/>
    <n v="760.77"/>
    <x v="0"/>
    <x v="5"/>
  </r>
  <r>
    <x v="241"/>
    <s v="Male"/>
    <x v="0"/>
    <s v="No"/>
    <s v="Yes"/>
    <n v="4"/>
    <s v="Month-to-month"/>
    <s v="DSL"/>
    <s v="Electronic check"/>
    <n v="22.79"/>
    <n v="11.395"/>
    <x v="0"/>
    <x v="2"/>
  </r>
  <r>
    <x v="242"/>
    <s v="Female"/>
    <x v="0"/>
    <s v="No"/>
    <s v="No"/>
    <n v="41"/>
    <s v="Two year"/>
    <s v="Fiber optic"/>
    <s v="Electronic check"/>
    <n v="47.37"/>
    <n v="1893.71"/>
    <x v="0"/>
    <x v="5"/>
  </r>
  <r>
    <x v="243"/>
    <s v="Male"/>
    <x v="0"/>
    <s v="No"/>
    <s v="No"/>
    <n v="66"/>
    <s v="Month-to-month"/>
    <s v="Fiber optic"/>
    <s v="Credit card"/>
    <n v="77.12"/>
    <n v="5073.4799999999996"/>
    <x v="0"/>
    <x v="1"/>
  </r>
  <r>
    <x v="244"/>
    <s v="Male"/>
    <x v="0"/>
    <s v="No"/>
    <s v="No"/>
    <n v="29"/>
    <s v="Two year"/>
    <s v="Fiber optic"/>
    <s v="Mailed check"/>
    <n v="69.09"/>
    <n v="2081.64"/>
    <x v="0"/>
    <x v="4"/>
  </r>
  <r>
    <x v="245"/>
    <s v="Female"/>
    <x v="0"/>
    <s v="No"/>
    <s v="No"/>
    <n v="56"/>
    <s v="Two year"/>
    <s v="DSL"/>
    <s v="Mailed check"/>
    <n v="54.21"/>
    <n v="3077.32"/>
    <x v="0"/>
    <x v="0"/>
  </r>
  <r>
    <x v="246"/>
    <s v="Male"/>
    <x v="0"/>
    <s v="No"/>
    <s v="Yes"/>
    <n v="72"/>
    <s v="Month-to-month"/>
    <s v="DSL"/>
    <s v="Electronic check"/>
    <n v="89.91"/>
    <n v="6491.24"/>
    <x v="0"/>
    <x v="1"/>
  </r>
  <r>
    <x v="247"/>
    <s v="Male"/>
    <x v="0"/>
    <s v="Yes"/>
    <s v="No"/>
    <n v="28"/>
    <s v="Two year"/>
    <s v="DSL"/>
    <s v="Bank transfer"/>
    <n v="89.9"/>
    <n v="2470.7399999999998"/>
    <x v="0"/>
    <x v="4"/>
  </r>
  <r>
    <x v="248"/>
    <s v="Male"/>
    <x v="0"/>
    <s v="Yes"/>
    <s v="No"/>
    <n v="36"/>
    <s v="Two year"/>
    <s v="DSL"/>
    <s v="Mailed check"/>
    <n v="73.75"/>
    <n v="2496.4299999999998"/>
    <x v="0"/>
    <x v="4"/>
  </r>
  <r>
    <x v="249"/>
    <s v="Male"/>
    <x v="0"/>
    <s v="Yes"/>
    <s v="Yes"/>
    <n v="12"/>
    <s v="One year"/>
    <s v="DSL"/>
    <s v="Electronic check"/>
    <n v="73"/>
    <n v="722.26"/>
    <x v="1"/>
    <x v="2"/>
  </r>
  <r>
    <x v="250"/>
    <s v="Female"/>
    <x v="1"/>
    <s v="Yes"/>
    <s v="Yes"/>
    <n v="31"/>
    <s v="One year"/>
    <s v="Fiber optic"/>
    <s v="Electronic check"/>
    <n v="58.58"/>
    <n v="1682.88"/>
    <x v="0"/>
    <x v="4"/>
  </r>
  <r>
    <x v="251"/>
    <s v="Male"/>
    <x v="0"/>
    <s v="Yes"/>
    <s v="No"/>
    <n v="45"/>
    <s v="Two year"/>
    <s v="DSL"/>
    <s v="Mailed check"/>
    <n v="51.58"/>
    <n v="2297.7399999999998"/>
    <x v="0"/>
    <x v="5"/>
  </r>
  <r>
    <x v="252"/>
    <s v="Female"/>
    <x v="0"/>
    <s v="Yes"/>
    <s v="No"/>
    <n v="22"/>
    <s v="One year"/>
    <s v="DSL"/>
    <s v="Credit card"/>
    <n v="27.31"/>
    <n v="680.34"/>
    <x v="0"/>
    <x v="3"/>
  </r>
  <r>
    <x v="253"/>
    <s v="Male"/>
    <x v="0"/>
    <s v="Yes"/>
    <s v="No"/>
    <n v="44"/>
    <s v="Month-to-month"/>
    <s v="Fiber optic"/>
    <s v="Credit card"/>
    <n v="73.73"/>
    <n v="3321.49"/>
    <x v="0"/>
    <x v="5"/>
  </r>
  <r>
    <x v="254"/>
    <s v="Male"/>
    <x v="1"/>
    <s v="No"/>
    <s v="No"/>
    <n v="16"/>
    <s v="Two year"/>
    <s v="DSL"/>
    <s v="Bank transfer"/>
    <n v="89.64"/>
    <n v="1497.74"/>
    <x v="0"/>
    <x v="3"/>
  </r>
  <r>
    <x v="255"/>
    <s v="Male"/>
    <x v="0"/>
    <s v="No"/>
    <s v="No"/>
    <n v="65"/>
    <s v="One year"/>
    <s v="DSL"/>
    <s v="Bank transfer"/>
    <n v="103.86"/>
    <n v="6709.69"/>
    <x v="0"/>
    <x v="1"/>
  </r>
  <r>
    <x v="256"/>
    <s v="Male"/>
    <x v="0"/>
    <s v="No"/>
    <s v="No"/>
    <n v="5"/>
    <s v="One year"/>
    <s v="DSL"/>
    <s v="Electronic check"/>
    <n v="63.88"/>
    <n v="410.94"/>
    <x v="0"/>
    <x v="2"/>
  </r>
  <r>
    <x v="257"/>
    <s v="Female"/>
    <x v="0"/>
    <s v="No"/>
    <s v="No"/>
    <n v="17"/>
    <s v="Month-to-month"/>
    <s v="DSL"/>
    <s v="Bank transfer"/>
    <n v="82.29"/>
    <n v="1324.44"/>
    <x v="0"/>
    <x v="3"/>
  </r>
  <r>
    <x v="258"/>
    <s v="Female"/>
    <x v="0"/>
    <s v="Yes"/>
    <s v="No"/>
    <n v="21"/>
    <s v="One year"/>
    <s v="Fiber optic"/>
    <s v="Bank transfer"/>
    <n v="20"/>
    <n v="488.27"/>
    <x v="0"/>
    <x v="3"/>
  </r>
  <r>
    <x v="259"/>
    <s v="Male"/>
    <x v="0"/>
    <s v="Yes"/>
    <s v="No"/>
    <n v="32"/>
    <s v="Month-to-month"/>
    <s v="DSL"/>
    <s v="Electronic check"/>
    <n v="59.18"/>
    <n v="1759.79"/>
    <x v="0"/>
    <x v="4"/>
  </r>
  <r>
    <x v="260"/>
    <s v="Male"/>
    <x v="1"/>
    <s v="No"/>
    <s v="No"/>
    <n v="29"/>
    <s v="Two year"/>
    <s v="Fiber optic"/>
    <s v="Credit card"/>
    <n v="68.59"/>
    <n v="1894.94"/>
    <x v="0"/>
    <x v="4"/>
  </r>
  <r>
    <x v="261"/>
    <s v="Female"/>
    <x v="0"/>
    <s v="No"/>
    <s v="No"/>
    <n v="31"/>
    <s v="Month-to-month"/>
    <s v="No"/>
    <s v="Electronic check"/>
    <n v="92.28"/>
    <n v="2992.89"/>
    <x v="0"/>
    <x v="4"/>
  </r>
  <r>
    <x v="262"/>
    <s v="Male"/>
    <x v="0"/>
    <s v="Yes"/>
    <s v="No"/>
    <n v="41"/>
    <s v="Month-to-month"/>
    <s v="Fiber optic"/>
    <s v="Electronic check"/>
    <n v="89.82"/>
    <n v="3666.31"/>
    <x v="1"/>
    <x v="5"/>
  </r>
  <r>
    <x v="263"/>
    <s v="Male"/>
    <x v="0"/>
    <s v="No"/>
    <s v="No"/>
    <n v="9"/>
    <s v="Month-to-month"/>
    <s v="Fiber optic"/>
    <s v="Bank transfer"/>
    <n v="92.36"/>
    <n v="776.76"/>
    <x v="1"/>
    <x v="2"/>
  </r>
  <r>
    <x v="264"/>
    <s v="Male"/>
    <x v="1"/>
    <s v="No"/>
    <s v="No"/>
    <n v="35"/>
    <s v="Month-to-month"/>
    <s v="No"/>
    <s v="Bank transfer"/>
    <n v="66.06"/>
    <n v="2400.3200000000002"/>
    <x v="0"/>
    <x v="4"/>
  </r>
  <r>
    <x v="265"/>
    <s v="Female"/>
    <x v="0"/>
    <s v="No"/>
    <s v="No"/>
    <n v="33"/>
    <s v="One year"/>
    <s v="Fiber optic"/>
    <s v="Bank transfer"/>
    <n v="81.14"/>
    <n v="2775.01"/>
    <x v="0"/>
    <x v="4"/>
  </r>
  <r>
    <x v="266"/>
    <s v="Female"/>
    <x v="0"/>
    <s v="No"/>
    <s v="No"/>
    <n v="72"/>
    <s v="Two year"/>
    <s v="DSL"/>
    <s v="Electronic check"/>
    <n v="108.31"/>
    <n v="7763.66"/>
    <x v="0"/>
    <x v="1"/>
  </r>
  <r>
    <x v="267"/>
    <s v="Female"/>
    <x v="0"/>
    <s v="Yes"/>
    <s v="No"/>
    <n v="27"/>
    <s v="Two year"/>
    <s v="Fiber optic"/>
    <s v="Credit card"/>
    <n v="22.37"/>
    <n v="626.27"/>
    <x v="0"/>
    <x v="4"/>
  </r>
  <r>
    <x v="268"/>
    <s v="Male"/>
    <x v="0"/>
    <s v="No"/>
    <s v="Yes"/>
    <n v="10"/>
    <s v="Month-to-month"/>
    <s v="No"/>
    <s v="Mailed check"/>
    <n v="58.66"/>
    <n v="597.54999999999995"/>
    <x v="0"/>
    <x v="2"/>
  </r>
  <r>
    <x v="269"/>
    <s v="Male"/>
    <x v="0"/>
    <s v="No"/>
    <s v="No"/>
    <n v="38"/>
    <s v="Month-to-month"/>
    <s v="DSL"/>
    <s v="Mailed check"/>
    <n v="98.25"/>
    <n v="3507.33"/>
    <x v="0"/>
    <x v="5"/>
  </r>
  <r>
    <x v="270"/>
    <s v="Female"/>
    <x v="1"/>
    <s v="Yes"/>
    <s v="Yes"/>
    <n v="46"/>
    <s v="Two year"/>
    <s v="DSL"/>
    <s v="Credit card"/>
    <n v="22.72"/>
    <n v="933.45"/>
    <x v="0"/>
    <x v="5"/>
  </r>
  <r>
    <x v="271"/>
    <s v="Female"/>
    <x v="0"/>
    <s v="Yes"/>
    <s v="No"/>
    <n v="18"/>
    <s v="Two year"/>
    <s v="Fiber optic"/>
    <s v="Bank transfer"/>
    <n v="100.95"/>
    <n v="1892.48"/>
    <x v="0"/>
    <x v="3"/>
  </r>
  <r>
    <x v="272"/>
    <s v="Female"/>
    <x v="1"/>
    <s v="No"/>
    <s v="No"/>
    <n v="14"/>
    <s v="Month-to-month"/>
    <s v="Fiber optic"/>
    <s v="Electronic check"/>
    <n v="60.97"/>
    <n v="786.97"/>
    <x v="1"/>
    <x v="3"/>
  </r>
  <r>
    <x v="273"/>
    <s v="Female"/>
    <x v="0"/>
    <s v="Yes"/>
    <s v="No"/>
    <n v="27"/>
    <s v="Month-to-month"/>
    <s v="DSL"/>
    <s v="Bank transfer"/>
    <n v="72.75"/>
    <n v="2006.64"/>
    <x v="0"/>
    <x v="4"/>
  </r>
  <r>
    <x v="274"/>
    <s v="Male"/>
    <x v="0"/>
    <s v="No"/>
    <s v="No"/>
    <n v="23"/>
    <s v="Month-to-month"/>
    <s v="Fiber optic"/>
    <s v="Electronic check"/>
    <n v="60.49"/>
    <n v="1412.31"/>
    <x v="1"/>
    <x v="3"/>
  </r>
  <r>
    <x v="275"/>
    <s v="Female"/>
    <x v="1"/>
    <s v="No"/>
    <s v="No"/>
    <n v="71"/>
    <s v="Two year"/>
    <s v="DSL"/>
    <s v="Electronic check"/>
    <n v="93.98"/>
    <n v="6769.81"/>
    <x v="0"/>
    <x v="1"/>
  </r>
  <r>
    <x v="276"/>
    <s v="Male"/>
    <x v="0"/>
    <s v="Yes"/>
    <s v="No"/>
    <n v="8"/>
    <s v="One year"/>
    <s v="Fiber optic"/>
    <s v="Mailed check"/>
    <n v="72.790000000000006"/>
    <n v="473.22"/>
    <x v="0"/>
    <x v="2"/>
  </r>
  <r>
    <x v="277"/>
    <s v="Female"/>
    <x v="0"/>
    <s v="No"/>
    <s v="No"/>
    <n v="46"/>
    <s v="Month-to-month"/>
    <s v="DSL"/>
    <s v="Credit card"/>
    <n v="91.14"/>
    <n v="4223.9799999999996"/>
    <x v="0"/>
    <x v="5"/>
  </r>
  <r>
    <x v="278"/>
    <s v="Male"/>
    <x v="0"/>
    <s v="No"/>
    <s v="No"/>
    <n v="32"/>
    <s v="Month-to-month"/>
    <s v="DSL"/>
    <s v="Electronic check"/>
    <n v="80.88"/>
    <n v="2582.9299999999998"/>
    <x v="0"/>
    <x v="4"/>
  </r>
  <r>
    <x v="279"/>
    <s v="Female"/>
    <x v="0"/>
    <s v="No"/>
    <s v="Yes"/>
    <n v="61"/>
    <s v="Two year"/>
    <s v="Fiber optic"/>
    <s v="Bank transfer"/>
    <n v="60.16"/>
    <n v="3606.58"/>
    <x v="0"/>
    <x v="1"/>
  </r>
  <r>
    <x v="280"/>
    <s v="Female"/>
    <x v="0"/>
    <s v="No"/>
    <s v="Yes"/>
    <n v="18"/>
    <s v="Month-to-month"/>
    <s v="Fiber optic"/>
    <s v="Electronic check"/>
    <n v="92.55"/>
    <n v="1602.16"/>
    <x v="1"/>
    <x v="3"/>
  </r>
  <r>
    <x v="281"/>
    <s v="Female"/>
    <x v="0"/>
    <s v="Yes"/>
    <s v="No"/>
    <n v="66"/>
    <s v="Month-to-month"/>
    <s v="Fiber optic"/>
    <s v="Bank transfer"/>
    <n v="63.41"/>
    <n v="4203.26"/>
    <x v="0"/>
    <x v="1"/>
  </r>
  <r>
    <x v="282"/>
    <s v="Female"/>
    <x v="0"/>
    <s v="Yes"/>
    <s v="No"/>
    <n v="39"/>
    <s v="One year"/>
    <s v="Fiber optic"/>
    <s v="Mailed check"/>
    <n v="81.599999999999994"/>
    <n v="3232.77"/>
    <x v="1"/>
    <x v="5"/>
  </r>
  <r>
    <x v="283"/>
    <s v="Male"/>
    <x v="0"/>
    <s v="No"/>
    <s v="Yes"/>
    <n v="46"/>
    <s v="Month-to-month"/>
    <s v="DSL"/>
    <s v="Bank transfer"/>
    <n v="62.34"/>
    <n v="2872.73"/>
    <x v="0"/>
    <x v="5"/>
  </r>
  <r>
    <x v="284"/>
    <s v="Female"/>
    <x v="0"/>
    <s v="Yes"/>
    <s v="Yes"/>
    <n v="64"/>
    <s v="Month-to-month"/>
    <s v="Fiber optic"/>
    <s v="Electronic check"/>
    <n v="102.5"/>
    <n v="6567.58"/>
    <x v="1"/>
    <x v="1"/>
  </r>
  <r>
    <x v="285"/>
    <s v="Male"/>
    <x v="0"/>
    <s v="No"/>
    <s v="Yes"/>
    <n v="28"/>
    <s v="Two year"/>
    <s v="DSL"/>
    <s v="Bank transfer"/>
    <n v="83.51"/>
    <n v="2298.4"/>
    <x v="0"/>
    <x v="4"/>
  </r>
  <r>
    <x v="286"/>
    <s v="Male"/>
    <x v="0"/>
    <s v="No"/>
    <s v="No"/>
    <n v="49"/>
    <s v="Two year"/>
    <s v="Fiber optic"/>
    <s v="Credit card"/>
    <n v="79.23"/>
    <n v="3847.7"/>
    <x v="1"/>
    <x v="0"/>
  </r>
  <r>
    <x v="287"/>
    <s v="Male"/>
    <x v="0"/>
    <s v="No"/>
    <s v="No"/>
    <n v="12"/>
    <s v="Two year"/>
    <s v="DSL"/>
    <s v="Bank transfer"/>
    <n v="52.86"/>
    <n v="570.91999999999996"/>
    <x v="0"/>
    <x v="2"/>
  </r>
  <r>
    <x v="288"/>
    <s v="Male"/>
    <x v="0"/>
    <s v="No"/>
    <s v="No"/>
    <n v="0"/>
    <s v="Two year"/>
    <s v="Fiber optic"/>
    <s v="Mailed check"/>
    <n v="48.28"/>
    <n v="24.14"/>
    <x v="0"/>
    <x v="6"/>
  </r>
  <r>
    <x v="289"/>
    <s v="Female"/>
    <x v="0"/>
    <s v="No"/>
    <s v="Yes"/>
    <n v="33"/>
    <s v="One year"/>
    <s v="No"/>
    <s v="Credit card"/>
    <n v="58.39"/>
    <n v="1974.44"/>
    <x v="0"/>
    <x v="4"/>
  </r>
  <r>
    <x v="290"/>
    <s v="Male"/>
    <x v="1"/>
    <s v="Yes"/>
    <s v="No"/>
    <n v="47"/>
    <s v="Two year"/>
    <s v="No"/>
    <s v="Electronic check"/>
    <n v="39.19"/>
    <n v="1898.44"/>
    <x v="0"/>
    <x v="5"/>
  </r>
  <r>
    <x v="291"/>
    <s v="Male"/>
    <x v="0"/>
    <s v="No"/>
    <s v="Yes"/>
    <n v="47"/>
    <s v="Month-to-month"/>
    <s v="Fiber optic"/>
    <s v="Bank transfer"/>
    <n v="33.049999999999997"/>
    <n v="1451.28"/>
    <x v="0"/>
    <x v="5"/>
  </r>
  <r>
    <x v="292"/>
    <s v="Male"/>
    <x v="0"/>
    <s v="Yes"/>
    <s v="Yes"/>
    <n v="48"/>
    <s v="One year"/>
    <s v="DSL"/>
    <s v="Credit card"/>
    <n v="36.75"/>
    <n v="1692.29"/>
    <x v="0"/>
    <x v="5"/>
  </r>
  <r>
    <x v="293"/>
    <s v="Female"/>
    <x v="0"/>
    <s v="Yes"/>
    <s v="No"/>
    <n v="63"/>
    <s v="Two year"/>
    <s v="Fiber optic"/>
    <s v="Electronic check"/>
    <n v="120.65"/>
    <n v="7544.12"/>
    <x v="0"/>
    <x v="1"/>
  </r>
  <r>
    <x v="294"/>
    <s v="Female"/>
    <x v="1"/>
    <s v="No"/>
    <s v="Yes"/>
    <n v="60"/>
    <s v="Month-to-month"/>
    <s v="Fiber optic"/>
    <s v="Mailed check"/>
    <n v="63.5"/>
    <n v="3804.88"/>
    <x v="1"/>
    <x v="0"/>
  </r>
  <r>
    <x v="295"/>
    <s v="Female"/>
    <x v="0"/>
    <s v="No"/>
    <s v="Yes"/>
    <n v="28"/>
    <s v="Month-to-month"/>
    <s v="DSL"/>
    <s v="Electronic check"/>
    <n v="97.05"/>
    <n v="2582.75"/>
    <x v="0"/>
    <x v="4"/>
  </r>
  <r>
    <x v="296"/>
    <s v="Female"/>
    <x v="0"/>
    <s v="No"/>
    <s v="Yes"/>
    <n v="38"/>
    <s v="Month-to-month"/>
    <s v="No"/>
    <s v="Mailed check"/>
    <n v="46.08"/>
    <n v="1680.73"/>
    <x v="1"/>
    <x v="5"/>
  </r>
  <r>
    <x v="297"/>
    <s v="Male"/>
    <x v="0"/>
    <s v="No"/>
    <s v="Yes"/>
    <n v="25"/>
    <s v="Month-to-month"/>
    <s v="DSL"/>
    <s v="Bank transfer"/>
    <n v="100.99"/>
    <n v="2413.9"/>
    <x v="0"/>
    <x v="4"/>
  </r>
  <r>
    <x v="298"/>
    <s v="Male"/>
    <x v="0"/>
    <s v="No"/>
    <s v="Yes"/>
    <n v="16"/>
    <s v="Month-to-month"/>
    <s v="No"/>
    <s v="Electronic check"/>
    <n v="84.18"/>
    <n v="1378.92"/>
    <x v="1"/>
    <x v="3"/>
  </r>
  <r>
    <x v="299"/>
    <s v="Female"/>
    <x v="0"/>
    <s v="Yes"/>
    <s v="No"/>
    <n v="70"/>
    <s v="Two year"/>
    <s v="Fiber optic"/>
    <s v="Mailed check"/>
    <n v="59.36"/>
    <n v="4152.83"/>
    <x v="0"/>
    <x v="1"/>
  </r>
  <r>
    <x v="300"/>
    <s v="Male"/>
    <x v="0"/>
    <s v="No"/>
    <s v="No"/>
    <n v="12"/>
    <s v="Two year"/>
    <s v="Fiber optic"/>
    <s v="Electronic check"/>
    <n v="30.3"/>
    <n v="326.60000000000002"/>
    <x v="1"/>
    <x v="2"/>
  </r>
  <r>
    <x v="301"/>
    <s v="Male"/>
    <x v="1"/>
    <s v="No"/>
    <s v="No"/>
    <n v="68"/>
    <s v="Month-to-month"/>
    <s v="DSL"/>
    <s v="Mailed check"/>
    <n v="22.42"/>
    <n v="1439.5"/>
    <x v="0"/>
    <x v="1"/>
  </r>
  <r>
    <x v="302"/>
    <s v="Male"/>
    <x v="0"/>
    <s v="Yes"/>
    <s v="No"/>
    <n v="25"/>
    <s v="Month-to-month"/>
    <s v="DSL"/>
    <s v="Electronic check"/>
    <n v="49.78"/>
    <n v="1208.73"/>
    <x v="0"/>
    <x v="4"/>
  </r>
  <r>
    <x v="303"/>
    <s v="Female"/>
    <x v="0"/>
    <s v="Yes"/>
    <s v="Yes"/>
    <n v="48"/>
    <s v="Month-to-month"/>
    <s v="Fiber optic"/>
    <s v="Credit card"/>
    <n v="127.24"/>
    <n v="6062.34"/>
    <x v="0"/>
    <x v="5"/>
  </r>
  <r>
    <x v="304"/>
    <s v="Female"/>
    <x v="0"/>
    <s v="No"/>
    <s v="No"/>
    <n v="66"/>
    <s v="Two year"/>
    <s v="DSL"/>
    <s v="Electronic check"/>
    <n v="59.74"/>
    <n v="4073.61"/>
    <x v="0"/>
    <x v="1"/>
  </r>
  <r>
    <x v="305"/>
    <s v="Male"/>
    <x v="0"/>
    <s v="Yes"/>
    <s v="No"/>
    <n v="6"/>
    <s v="Month-to-month"/>
    <s v="DSL"/>
    <s v="Credit card"/>
    <n v="73.63"/>
    <n v="521.54"/>
    <x v="0"/>
    <x v="2"/>
  </r>
  <r>
    <x v="306"/>
    <s v="Female"/>
    <x v="0"/>
    <s v="No"/>
    <s v="Yes"/>
    <n v="57"/>
    <s v="Month-to-month"/>
    <s v="Fiber optic"/>
    <s v="Bank transfer"/>
    <n v="112.58"/>
    <n v="6361.8"/>
    <x v="0"/>
    <x v="0"/>
  </r>
  <r>
    <x v="307"/>
    <s v="Female"/>
    <x v="0"/>
    <s v="Yes"/>
    <s v="No"/>
    <n v="48"/>
    <s v="Month-to-month"/>
    <s v="Fiber optic"/>
    <s v="Electronic check"/>
    <n v="82.76"/>
    <n v="3985.7"/>
    <x v="0"/>
    <x v="5"/>
  </r>
  <r>
    <x v="308"/>
    <s v="Female"/>
    <x v="0"/>
    <s v="Yes"/>
    <s v="Yes"/>
    <n v="52"/>
    <s v="Month-to-month"/>
    <s v="Fiber optic"/>
    <s v="Bank transfer"/>
    <n v="81.900000000000006"/>
    <n v="4334.34"/>
    <x v="0"/>
    <x v="0"/>
  </r>
  <r>
    <x v="309"/>
    <s v="Female"/>
    <x v="1"/>
    <s v="No"/>
    <s v="No"/>
    <n v="64"/>
    <s v="Month-to-month"/>
    <s v="Fiber optic"/>
    <s v="Mailed check"/>
    <n v="95.57"/>
    <n v="6061.2"/>
    <x v="0"/>
    <x v="1"/>
  </r>
  <r>
    <x v="310"/>
    <s v="Female"/>
    <x v="0"/>
    <s v="Yes"/>
    <s v="No"/>
    <n v="61"/>
    <s v="Two year"/>
    <s v="DSL"/>
    <s v="Mailed check"/>
    <n v="77.22"/>
    <n v="4597.05"/>
    <x v="0"/>
    <x v="1"/>
  </r>
  <r>
    <x v="311"/>
    <s v="Male"/>
    <x v="0"/>
    <s v="Yes"/>
    <s v="No"/>
    <n v="16"/>
    <s v="One year"/>
    <s v="No"/>
    <s v="Electronic check"/>
    <n v="52.51"/>
    <n v="696.41"/>
    <x v="0"/>
    <x v="3"/>
  </r>
  <r>
    <x v="312"/>
    <s v="Female"/>
    <x v="1"/>
    <s v="Yes"/>
    <s v="No"/>
    <n v="42"/>
    <s v="One year"/>
    <s v="DSL"/>
    <s v="Mailed check"/>
    <n v="51.96"/>
    <n v="2284.1"/>
    <x v="0"/>
    <x v="5"/>
  </r>
  <r>
    <x v="313"/>
    <s v="Male"/>
    <x v="0"/>
    <s v="Yes"/>
    <s v="No"/>
    <n v="24"/>
    <s v="Month-to-month"/>
    <s v="Fiber optic"/>
    <s v="Electronic check"/>
    <n v="81.96"/>
    <n v="1951.76"/>
    <x v="1"/>
    <x v="3"/>
  </r>
  <r>
    <x v="314"/>
    <s v="Male"/>
    <x v="0"/>
    <s v="Yes"/>
    <s v="No"/>
    <n v="2"/>
    <s v="One year"/>
    <s v="Fiber optic"/>
    <s v="Electronic check"/>
    <n v="107.36"/>
    <n v="238.03"/>
    <x v="0"/>
    <x v="2"/>
  </r>
  <r>
    <x v="315"/>
    <s v="Female"/>
    <x v="0"/>
    <s v="Yes"/>
    <s v="Yes"/>
    <n v="28"/>
    <s v="One year"/>
    <s v="Fiber optic"/>
    <s v="Mailed check"/>
    <n v="124.55"/>
    <n v="3441.46"/>
    <x v="0"/>
    <x v="4"/>
  </r>
  <r>
    <x v="316"/>
    <s v="Male"/>
    <x v="0"/>
    <s v="No"/>
    <s v="Yes"/>
    <n v="31"/>
    <s v="Month-to-month"/>
    <s v="DSL"/>
    <s v="Electronic check"/>
    <n v="77.31"/>
    <n v="2295.1799999999998"/>
    <x v="0"/>
    <x v="4"/>
  </r>
  <r>
    <x v="317"/>
    <s v="Male"/>
    <x v="0"/>
    <s v="No"/>
    <s v="No"/>
    <n v="25"/>
    <s v="One year"/>
    <s v="Fiber optic"/>
    <s v="Electronic check"/>
    <n v="98.88"/>
    <n v="2385.5"/>
    <x v="0"/>
    <x v="4"/>
  </r>
  <r>
    <x v="318"/>
    <s v="Male"/>
    <x v="1"/>
    <s v="Yes"/>
    <s v="No"/>
    <n v="15"/>
    <s v="Month-to-month"/>
    <s v="Fiber optic"/>
    <s v="Electronic check"/>
    <n v="86.74"/>
    <n v="1193.82"/>
    <x v="0"/>
    <x v="3"/>
  </r>
  <r>
    <x v="319"/>
    <s v="Female"/>
    <x v="0"/>
    <s v="No"/>
    <s v="No"/>
    <n v="24"/>
    <s v="Two year"/>
    <s v="DSL"/>
    <s v="Electronic check"/>
    <n v="67.819999999999993"/>
    <n v="1695.68"/>
    <x v="0"/>
    <x v="3"/>
  </r>
  <r>
    <x v="320"/>
    <s v="Female"/>
    <x v="0"/>
    <s v="No"/>
    <s v="No"/>
    <n v="53"/>
    <s v="Month-to-month"/>
    <s v="Fiber optic"/>
    <s v="Electronic check"/>
    <n v="92.86"/>
    <n v="5040.9799999999996"/>
    <x v="1"/>
    <x v="0"/>
  </r>
  <r>
    <x v="321"/>
    <s v="Male"/>
    <x v="1"/>
    <s v="No"/>
    <s v="No"/>
    <n v="27"/>
    <s v="Two year"/>
    <s v="No"/>
    <s v="Credit card"/>
    <n v="84.73"/>
    <n v="2290.69"/>
    <x v="0"/>
    <x v="4"/>
  </r>
  <r>
    <x v="322"/>
    <s v="Female"/>
    <x v="0"/>
    <s v="Yes"/>
    <s v="No"/>
    <n v="72"/>
    <s v="Month-to-month"/>
    <s v="No"/>
    <s v="Electronic check"/>
    <n v="32.840000000000003"/>
    <n v="2243.06"/>
    <x v="0"/>
    <x v="1"/>
  </r>
  <r>
    <x v="323"/>
    <s v="Female"/>
    <x v="0"/>
    <s v="No"/>
    <s v="No"/>
    <n v="55"/>
    <s v="One year"/>
    <s v="DSL"/>
    <s v="Bank transfer"/>
    <n v="33.72"/>
    <n v="1894.33"/>
    <x v="0"/>
    <x v="0"/>
  </r>
  <r>
    <x v="324"/>
    <s v="Female"/>
    <x v="0"/>
    <s v="Yes"/>
    <s v="No"/>
    <n v="64"/>
    <s v="One year"/>
    <s v="DSL"/>
    <s v="Electronic check"/>
    <n v="56.67"/>
    <n v="3728.08"/>
    <x v="0"/>
    <x v="1"/>
  </r>
  <r>
    <x v="325"/>
    <s v="Female"/>
    <x v="0"/>
    <s v="No"/>
    <s v="No"/>
    <n v="40"/>
    <s v="One year"/>
    <s v="DSL"/>
    <s v="Credit card"/>
    <n v="75.290000000000006"/>
    <n v="3089.33"/>
    <x v="1"/>
    <x v="5"/>
  </r>
  <r>
    <x v="326"/>
    <s v="Male"/>
    <x v="0"/>
    <s v="Yes"/>
    <s v="No"/>
    <n v="50"/>
    <s v="Month-to-month"/>
    <s v="Fiber optic"/>
    <s v="Electronic check"/>
    <n v="101.75"/>
    <n v="5085.17"/>
    <x v="1"/>
    <x v="0"/>
  </r>
  <r>
    <x v="327"/>
    <s v="Male"/>
    <x v="0"/>
    <s v="Yes"/>
    <s v="Yes"/>
    <n v="70"/>
    <s v="Month-to-month"/>
    <s v="DSL"/>
    <s v="Credit card"/>
    <n v="45.26"/>
    <n v="3149.44"/>
    <x v="0"/>
    <x v="1"/>
  </r>
  <r>
    <x v="328"/>
    <s v="Female"/>
    <x v="0"/>
    <s v="No"/>
    <s v="No"/>
    <n v="28"/>
    <s v="One year"/>
    <s v="DSL"/>
    <s v="Bank transfer"/>
    <n v="20"/>
    <n v="557.03"/>
    <x v="0"/>
    <x v="4"/>
  </r>
  <r>
    <x v="329"/>
    <s v="Female"/>
    <x v="0"/>
    <s v="No"/>
    <s v="Yes"/>
    <n v="18"/>
    <s v="Month-to-month"/>
    <s v="No"/>
    <s v="Electronic check"/>
    <n v="42.26"/>
    <n v="858.7"/>
    <x v="0"/>
    <x v="3"/>
  </r>
  <r>
    <x v="330"/>
    <s v="Male"/>
    <x v="0"/>
    <s v="Yes"/>
    <s v="Yes"/>
    <n v="65"/>
    <s v="Month-to-month"/>
    <s v="No"/>
    <s v="Credit card"/>
    <n v="50.15"/>
    <n v="3320.58"/>
    <x v="0"/>
    <x v="1"/>
  </r>
  <r>
    <x v="331"/>
    <s v="Male"/>
    <x v="0"/>
    <s v="No"/>
    <s v="Yes"/>
    <n v="40"/>
    <s v="One year"/>
    <s v="DSL"/>
    <s v="Mailed check"/>
    <n v="40.94"/>
    <n v="1606.74"/>
    <x v="0"/>
    <x v="5"/>
  </r>
  <r>
    <x v="332"/>
    <s v="Female"/>
    <x v="1"/>
    <s v="No"/>
    <s v="No"/>
    <n v="44"/>
    <s v="Month-to-month"/>
    <s v="DSL"/>
    <s v="Electronic check"/>
    <n v="51.1"/>
    <n v="2215.5300000000002"/>
    <x v="0"/>
    <x v="5"/>
  </r>
  <r>
    <x v="333"/>
    <s v="Male"/>
    <x v="0"/>
    <s v="No"/>
    <s v="No"/>
    <n v="14"/>
    <s v="Month-to-month"/>
    <s v="Fiber optic"/>
    <s v="Bank transfer"/>
    <n v="101.68"/>
    <n v="1384.98"/>
    <x v="1"/>
    <x v="3"/>
  </r>
  <r>
    <x v="334"/>
    <s v="Female"/>
    <x v="0"/>
    <s v="Yes"/>
    <s v="Yes"/>
    <n v="2"/>
    <s v="Month-to-month"/>
    <s v="DSL"/>
    <s v="Credit card"/>
    <n v="71.95"/>
    <n v="58.73"/>
    <x v="0"/>
    <x v="2"/>
  </r>
  <r>
    <x v="335"/>
    <s v="Female"/>
    <x v="0"/>
    <s v="Yes"/>
    <s v="No"/>
    <n v="10"/>
    <s v="Month-to-month"/>
    <s v="Fiber optic"/>
    <s v="Mailed check"/>
    <n v="88.64"/>
    <n v="994.55"/>
    <x v="0"/>
    <x v="2"/>
  </r>
  <r>
    <x v="336"/>
    <s v="Male"/>
    <x v="0"/>
    <s v="No"/>
    <s v="No"/>
    <n v="52"/>
    <s v="One year"/>
    <s v="Fiber optic"/>
    <s v="Electronic check"/>
    <n v="71.11"/>
    <n v="3634.69"/>
    <x v="1"/>
    <x v="0"/>
  </r>
  <r>
    <x v="337"/>
    <s v="Male"/>
    <x v="0"/>
    <s v="No"/>
    <s v="No"/>
    <n v="45"/>
    <s v="One year"/>
    <s v="No"/>
    <s v="Bank transfer"/>
    <n v="36.15"/>
    <n v="1665.97"/>
    <x v="0"/>
    <x v="5"/>
  </r>
  <r>
    <x v="338"/>
    <s v="Female"/>
    <x v="0"/>
    <s v="No"/>
    <s v="Yes"/>
    <n v="29"/>
    <s v="Two year"/>
    <s v="Fiber optic"/>
    <s v="Bank transfer"/>
    <n v="70.930000000000007"/>
    <n v="2004.06"/>
    <x v="0"/>
    <x v="4"/>
  </r>
  <r>
    <x v="339"/>
    <s v="Female"/>
    <x v="0"/>
    <s v="Yes"/>
    <s v="No"/>
    <n v="56"/>
    <s v="Two year"/>
    <s v="Fiber optic"/>
    <s v="Credit card"/>
    <n v="92.47"/>
    <n v="5140.1400000000003"/>
    <x v="1"/>
    <x v="0"/>
  </r>
  <r>
    <x v="340"/>
    <s v="Male"/>
    <x v="1"/>
    <s v="Yes"/>
    <s v="No"/>
    <n v="17"/>
    <s v="Month-to-month"/>
    <s v="Fiber optic"/>
    <s v="Bank transfer"/>
    <n v="42.72"/>
    <n v="717.13"/>
    <x v="1"/>
    <x v="3"/>
  </r>
  <r>
    <x v="341"/>
    <s v="Female"/>
    <x v="0"/>
    <s v="No"/>
    <s v="Yes"/>
    <n v="50"/>
    <s v="Month-to-month"/>
    <s v="DSL"/>
    <s v="Electronic check"/>
    <n v="111.25"/>
    <n v="5606.12"/>
    <x v="0"/>
    <x v="0"/>
  </r>
  <r>
    <x v="342"/>
    <s v="Male"/>
    <x v="0"/>
    <s v="No"/>
    <s v="Yes"/>
    <n v="47"/>
    <s v="Month-to-month"/>
    <s v="Fiber optic"/>
    <s v="Credit card"/>
    <n v="94.37"/>
    <n v="4414.6499999999996"/>
    <x v="1"/>
    <x v="5"/>
  </r>
  <r>
    <x v="343"/>
    <s v="Female"/>
    <x v="0"/>
    <s v="No"/>
    <s v="No"/>
    <n v="65"/>
    <s v="Month-to-month"/>
    <s v="Fiber optic"/>
    <s v="Electronic check"/>
    <n v="66.599999999999994"/>
    <n v="4237.8599999999997"/>
    <x v="0"/>
    <x v="1"/>
  </r>
  <r>
    <x v="344"/>
    <s v="Male"/>
    <x v="1"/>
    <s v="No"/>
    <s v="No"/>
    <n v="7"/>
    <s v="Two year"/>
    <s v="DSL"/>
    <s v="Electronic check"/>
    <n v="90.34"/>
    <n v="633.91"/>
    <x v="1"/>
    <x v="2"/>
  </r>
  <r>
    <x v="345"/>
    <s v="Male"/>
    <x v="0"/>
    <s v="No"/>
    <s v="No"/>
    <n v="21"/>
    <s v="Month-to-month"/>
    <s v="DSL"/>
    <s v="Mailed check"/>
    <n v="100.56"/>
    <n v="2050.4299999999998"/>
    <x v="0"/>
    <x v="3"/>
  </r>
  <r>
    <x v="346"/>
    <s v="Male"/>
    <x v="1"/>
    <s v="No"/>
    <s v="No"/>
    <n v="5"/>
    <s v="Month-to-month"/>
    <s v="DSL"/>
    <s v="Mailed check"/>
    <n v="61.74"/>
    <n v="432.21"/>
    <x v="0"/>
    <x v="2"/>
  </r>
  <r>
    <x v="347"/>
    <s v="Female"/>
    <x v="0"/>
    <s v="Yes"/>
    <s v="No"/>
    <n v="56"/>
    <s v="Month-to-month"/>
    <s v="No"/>
    <s v="Electronic check"/>
    <n v="49.59"/>
    <n v="2756.24"/>
    <x v="0"/>
    <x v="0"/>
  </r>
  <r>
    <x v="348"/>
    <s v="Female"/>
    <x v="0"/>
    <s v="No"/>
    <s v="No"/>
    <n v="35"/>
    <s v="One year"/>
    <s v="DSL"/>
    <s v="Bank transfer"/>
    <n v="107.34"/>
    <n v="3703.46"/>
    <x v="0"/>
    <x v="4"/>
  </r>
  <r>
    <x v="349"/>
    <s v="Male"/>
    <x v="0"/>
    <s v="Yes"/>
    <s v="Yes"/>
    <n v="56"/>
    <s v="One year"/>
    <s v="DSL"/>
    <s v="Mailed check"/>
    <n v="122.97"/>
    <n v="7044.3"/>
    <x v="0"/>
    <x v="0"/>
  </r>
  <r>
    <x v="350"/>
    <s v="Female"/>
    <x v="1"/>
    <s v="No"/>
    <s v="No"/>
    <n v="48"/>
    <s v="Month-to-month"/>
    <s v="Fiber optic"/>
    <s v="Mailed check"/>
    <n v="80.739999999999995"/>
    <n v="3934.63"/>
    <x v="0"/>
    <x v="5"/>
  </r>
  <r>
    <x v="351"/>
    <s v="Male"/>
    <x v="0"/>
    <s v="No"/>
    <s v="No"/>
    <n v="44"/>
    <s v="Two year"/>
    <s v="Fiber optic"/>
    <s v="Credit card"/>
    <n v="51.04"/>
    <n v="2174.02"/>
    <x v="0"/>
    <x v="5"/>
  </r>
  <r>
    <x v="352"/>
    <s v="Male"/>
    <x v="0"/>
    <s v="Yes"/>
    <s v="No"/>
    <n v="65"/>
    <s v="Month-to-month"/>
    <s v="DSL"/>
    <s v="Mailed check"/>
    <n v="58.23"/>
    <n v="3721.68"/>
    <x v="0"/>
    <x v="1"/>
  </r>
  <r>
    <x v="353"/>
    <s v="Female"/>
    <x v="0"/>
    <s v="Yes"/>
    <s v="No"/>
    <n v="44"/>
    <s v="Month-to-month"/>
    <s v="No"/>
    <s v="Electronic check"/>
    <n v="80.83"/>
    <n v="3594.45"/>
    <x v="1"/>
    <x v="5"/>
  </r>
  <r>
    <x v="354"/>
    <s v="Female"/>
    <x v="0"/>
    <s v="Yes"/>
    <s v="No"/>
    <n v="19"/>
    <s v="Two year"/>
    <s v="No"/>
    <s v="Electronic check"/>
    <n v="29.24"/>
    <n v="559.04"/>
    <x v="0"/>
    <x v="3"/>
  </r>
  <r>
    <x v="355"/>
    <s v="Male"/>
    <x v="0"/>
    <s v="Yes"/>
    <s v="Yes"/>
    <n v="63"/>
    <s v="Month-to-month"/>
    <s v="Fiber optic"/>
    <s v="Credit card"/>
    <n v="74.790000000000006"/>
    <n v="4782.9799999999996"/>
    <x v="0"/>
    <x v="1"/>
  </r>
  <r>
    <x v="356"/>
    <s v="Female"/>
    <x v="1"/>
    <s v="No"/>
    <s v="No"/>
    <n v="66"/>
    <s v="Two year"/>
    <s v="Fiber optic"/>
    <s v="Electronic check"/>
    <n v="87.31"/>
    <n v="5709.45"/>
    <x v="0"/>
    <x v="1"/>
  </r>
  <r>
    <x v="357"/>
    <s v="Female"/>
    <x v="0"/>
    <s v="Yes"/>
    <s v="Yes"/>
    <n v="2"/>
    <s v="Two year"/>
    <s v="DSL"/>
    <s v="Mailed check"/>
    <n v="46.93"/>
    <n v="149.94999999999999"/>
    <x v="0"/>
    <x v="2"/>
  </r>
  <r>
    <x v="358"/>
    <s v="Male"/>
    <x v="0"/>
    <s v="No"/>
    <s v="No"/>
    <n v="53"/>
    <s v="One year"/>
    <s v="DSL"/>
    <s v="Mailed check"/>
    <n v="97.41"/>
    <n v="4983.67"/>
    <x v="0"/>
    <x v="0"/>
  </r>
  <r>
    <x v="359"/>
    <s v="Male"/>
    <x v="1"/>
    <s v="Yes"/>
    <s v="Yes"/>
    <n v="63"/>
    <s v="One year"/>
    <s v="Fiber optic"/>
    <s v="Mailed check"/>
    <n v="97.35"/>
    <n v="6120.69"/>
    <x v="0"/>
    <x v="1"/>
  </r>
  <r>
    <x v="360"/>
    <s v="Female"/>
    <x v="0"/>
    <s v="No"/>
    <s v="Yes"/>
    <n v="39"/>
    <s v="Month-to-month"/>
    <s v="DSL"/>
    <s v="Electronic check"/>
    <n v="120.24"/>
    <n v="4639.99"/>
    <x v="0"/>
    <x v="5"/>
  </r>
  <r>
    <x v="361"/>
    <s v="Male"/>
    <x v="0"/>
    <s v="No"/>
    <s v="No"/>
    <n v="58"/>
    <s v="Two year"/>
    <s v="DSL"/>
    <s v="Mailed check"/>
    <n v="89.54"/>
    <n v="5156.92"/>
    <x v="0"/>
    <x v="0"/>
  </r>
  <r>
    <x v="362"/>
    <s v="Male"/>
    <x v="0"/>
    <s v="No"/>
    <s v="Yes"/>
    <n v="54"/>
    <s v="Month-to-month"/>
    <s v="Fiber optic"/>
    <s v="Mailed check"/>
    <n v="55.98"/>
    <n v="3014.69"/>
    <x v="0"/>
    <x v="0"/>
  </r>
  <r>
    <x v="363"/>
    <s v="Female"/>
    <x v="0"/>
    <s v="No"/>
    <s v="No"/>
    <n v="61"/>
    <s v="One year"/>
    <s v="DSL"/>
    <s v="Credit card"/>
    <n v="83.26"/>
    <n v="5169.9399999999996"/>
    <x v="0"/>
    <x v="1"/>
  </r>
  <r>
    <x v="364"/>
    <s v="Male"/>
    <x v="0"/>
    <s v="No"/>
    <s v="No"/>
    <n v="3"/>
    <s v="Two year"/>
    <s v="No"/>
    <s v="Electronic check"/>
    <n v="79.7"/>
    <n v="146.78"/>
    <x v="0"/>
    <x v="2"/>
  </r>
  <r>
    <x v="365"/>
    <s v="Male"/>
    <x v="0"/>
    <s v="No"/>
    <s v="Yes"/>
    <n v="59"/>
    <s v="Two year"/>
    <s v="DSL"/>
    <s v="Mailed check"/>
    <n v="95.99"/>
    <n v="5488.37"/>
    <x v="0"/>
    <x v="0"/>
  </r>
  <r>
    <x v="366"/>
    <s v="Female"/>
    <x v="1"/>
    <s v="Yes"/>
    <s v="Yes"/>
    <n v="29"/>
    <s v="Two year"/>
    <s v="Fiber optic"/>
    <s v="Mailed check"/>
    <n v="60.58"/>
    <n v="1673.78"/>
    <x v="0"/>
    <x v="4"/>
  </r>
  <r>
    <x v="367"/>
    <s v="Female"/>
    <x v="0"/>
    <s v="No"/>
    <s v="No"/>
    <n v="1"/>
    <s v="Month-to-month"/>
    <s v="Fiber optic"/>
    <s v="Mailed check"/>
    <n v="57.59"/>
    <n v="139.38"/>
    <x v="0"/>
    <x v="2"/>
  </r>
  <r>
    <x v="368"/>
    <s v="Male"/>
    <x v="0"/>
    <s v="Yes"/>
    <s v="No"/>
    <n v="61"/>
    <s v="Two year"/>
    <s v="Fiber optic"/>
    <s v="Bank transfer"/>
    <n v="51.51"/>
    <n v="3010.51"/>
    <x v="0"/>
    <x v="1"/>
  </r>
  <r>
    <x v="369"/>
    <s v="Male"/>
    <x v="0"/>
    <s v="Yes"/>
    <s v="No"/>
    <n v="48"/>
    <s v="One year"/>
    <s v="DSL"/>
    <s v="Electronic check"/>
    <n v="110.12"/>
    <n v="5240"/>
    <x v="0"/>
    <x v="5"/>
  </r>
  <r>
    <x v="370"/>
    <s v="Female"/>
    <x v="0"/>
    <s v="No"/>
    <s v="No"/>
    <n v="8"/>
    <s v="Two year"/>
    <s v="Fiber optic"/>
    <s v="Electronic check"/>
    <n v="95.57"/>
    <n v="831.73"/>
    <x v="1"/>
    <x v="2"/>
  </r>
  <r>
    <x v="371"/>
    <s v="Female"/>
    <x v="0"/>
    <s v="Yes"/>
    <s v="No"/>
    <n v="30"/>
    <s v="One year"/>
    <s v="No"/>
    <s v="Bank transfer"/>
    <n v="34.47"/>
    <n v="1029.43"/>
    <x v="0"/>
    <x v="4"/>
  </r>
  <r>
    <x v="372"/>
    <s v="Female"/>
    <x v="0"/>
    <s v="No"/>
    <s v="No"/>
    <n v="60"/>
    <s v="Month-to-month"/>
    <s v="Fiber optic"/>
    <s v="Mailed check"/>
    <n v="83.18"/>
    <n v="5081.1000000000004"/>
    <x v="0"/>
    <x v="0"/>
  </r>
  <r>
    <x v="373"/>
    <s v="Female"/>
    <x v="0"/>
    <s v="Yes"/>
    <s v="No"/>
    <n v="47"/>
    <s v="Month-to-month"/>
    <s v="Fiber optic"/>
    <s v="Mailed check"/>
    <n v="76.91"/>
    <n v="3451.98"/>
    <x v="0"/>
    <x v="5"/>
  </r>
  <r>
    <x v="374"/>
    <s v="Male"/>
    <x v="1"/>
    <s v="No"/>
    <s v="No"/>
    <n v="24"/>
    <s v="One year"/>
    <s v="Fiber optic"/>
    <s v="Electronic check"/>
    <n v="55.69"/>
    <n v="1310.83"/>
    <x v="1"/>
    <x v="3"/>
  </r>
  <r>
    <x v="375"/>
    <s v="Female"/>
    <x v="1"/>
    <s v="Yes"/>
    <s v="Yes"/>
    <n v="35"/>
    <s v="One year"/>
    <s v="Fiber optic"/>
    <s v="Electronic check"/>
    <n v="80.900000000000006"/>
    <n v="2938.47"/>
    <x v="0"/>
    <x v="4"/>
  </r>
  <r>
    <x v="376"/>
    <s v="Female"/>
    <x v="0"/>
    <s v="No"/>
    <s v="No"/>
    <n v="7"/>
    <s v="Month-to-month"/>
    <s v="Fiber optic"/>
    <s v="Electronic check"/>
    <n v="84.77"/>
    <n v="503.24"/>
    <x v="0"/>
    <x v="2"/>
  </r>
  <r>
    <x v="377"/>
    <s v="Male"/>
    <x v="0"/>
    <s v="No"/>
    <s v="No"/>
    <n v="72"/>
    <s v="One year"/>
    <s v="No"/>
    <s v="Electronic check"/>
    <n v="103.28"/>
    <n v="7518.94"/>
    <x v="0"/>
    <x v="1"/>
  </r>
  <r>
    <x v="378"/>
    <s v="Female"/>
    <x v="1"/>
    <s v="No"/>
    <s v="No"/>
    <n v="57"/>
    <s v="Month-to-month"/>
    <s v="DSL"/>
    <s v="Mailed check"/>
    <n v="53.61"/>
    <n v="3036.91"/>
    <x v="1"/>
    <x v="0"/>
  </r>
  <r>
    <x v="379"/>
    <s v="Male"/>
    <x v="0"/>
    <s v="No"/>
    <s v="No"/>
    <n v="44"/>
    <s v="Two year"/>
    <s v="Fiber optic"/>
    <s v="Credit card"/>
    <n v="37.270000000000003"/>
    <n v="1674.61"/>
    <x v="0"/>
    <x v="5"/>
  </r>
  <r>
    <x v="380"/>
    <s v="Female"/>
    <x v="0"/>
    <s v="Yes"/>
    <s v="No"/>
    <n v="61"/>
    <s v="Month-to-month"/>
    <s v="Fiber optic"/>
    <s v="Electronic check"/>
    <n v="53.78"/>
    <n v="3381.75"/>
    <x v="0"/>
    <x v="1"/>
  </r>
  <r>
    <x v="381"/>
    <s v="Female"/>
    <x v="0"/>
    <s v="No"/>
    <s v="No"/>
    <n v="38"/>
    <s v="Month-to-month"/>
    <s v="Fiber optic"/>
    <s v="Electronic check"/>
    <n v="57.68"/>
    <n v="2226.23"/>
    <x v="0"/>
    <x v="5"/>
  </r>
  <r>
    <x v="382"/>
    <s v="Female"/>
    <x v="1"/>
    <s v="Yes"/>
    <s v="No"/>
    <n v="57"/>
    <s v="Month-to-month"/>
    <s v="No"/>
    <s v="Electronic check"/>
    <n v="44.33"/>
    <n v="2479.5100000000002"/>
    <x v="0"/>
    <x v="0"/>
  </r>
  <r>
    <x v="383"/>
    <s v="Male"/>
    <x v="1"/>
    <s v="Yes"/>
    <s v="No"/>
    <n v="63"/>
    <s v="Month-to-month"/>
    <s v="No"/>
    <s v="Mailed check"/>
    <n v="28.84"/>
    <n v="1861.89"/>
    <x v="0"/>
    <x v="1"/>
  </r>
  <r>
    <x v="384"/>
    <s v="Male"/>
    <x v="0"/>
    <s v="Yes"/>
    <s v="No"/>
    <n v="43"/>
    <s v="Month-to-month"/>
    <s v="Fiber optic"/>
    <s v="Electronic check"/>
    <n v="100.55"/>
    <n v="4270.71"/>
    <x v="0"/>
    <x v="5"/>
  </r>
  <r>
    <x v="385"/>
    <s v="Female"/>
    <x v="0"/>
    <s v="No"/>
    <s v="No"/>
    <n v="28"/>
    <s v="Month-to-month"/>
    <s v="DSL"/>
    <s v="Credit card"/>
    <n v="42.1"/>
    <n v="1200.67"/>
    <x v="1"/>
    <x v="4"/>
  </r>
  <r>
    <x v="386"/>
    <s v="Male"/>
    <x v="0"/>
    <s v="Yes"/>
    <s v="No"/>
    <n v="58"/>
    <s v="Month-to-month"/>
    <s v="DSL"/>
    <s v="Bank transfer"/>
    <n v="70.5"/>
    <n v="3988.85"/>
    <x v="0"/>
    <x v="0"/>
  </r>
  <r>
    <x v="387"/>
    <s v="Male"/>
    <x v="0"/>
    <s v="Yes"/>
    <s v="No"/>
    <n v="70"/>
    <s v="Two year"/>
    <s v="Fiber optic"/>
    <s v="Credit card"/>
    <n v="130"/>
    <n v="9102.33"/>
    <x v="0"/>
    <x v="1"/>
  </r>
  <r>
    <x v="388"/>
    <s v="Male"/>
    <x v="1"/>
    <s v="Yes"/>
    <s v="No"/>
    <n v="8"/>
    <s v="Two year"/>
    <s v="No"/>
    <s v="Credit card"/>
    <n v="68.84"/>
    <n v="645.86"/>
    <x v="0"/>
    <x v="2"/>
  </r>
  <r>
    <x v="389"/>
    <s v="Male"/>
    <x v="0"/>
    <s v="No"/>
    <s v="No"/>
    <n v="5"/>
    <s v="Month-to-month"/>
    <s v="DSL"/>
    <s v="Mailed check"/>
    <n v="81.27"/>
    <n v="382.45"/>
    <x v="1"/>
    <x v="2"/>
  </r>
  <r>
    <x v="390"/>
    <s v="Male"/>
    <x v="0"/>
    <s v="No"/>
    <s v="No"/>
    <n v="28"/>
    <s v="Two year"/>
    <s v="DSL"/>
    <s v="Mailed check"/>
    <n v="116.43"/>
    <n v="3347.54"/>
    <x v="0"/>
    <x v="4"/>
  </r>
  <r>
    <x v="391"/>
    <s v="Male"/>
    <x v="0"/>
    <s v="Yes"/>
    <s v="Yes"/>
    <n v="57"/>
    <s v="Month-to-month"/>
    <s v="DSL"/>
    <s v="Electronic check"/>
    <n v="101.14"/>
    <n v="6012.45"/>
    <x v="0"/>
    <x v="0"/>
  </r>
  <r>
    <x v="392"/>
    <s v="Female"/>
    <x v="0"/>
    <s v="No"/>
    <s v="No"/>
    <n v="16"/>
    <s v="One year"/>
    <s v="Fiber optic"/>
    <s v="Mailed check"/>
    <n v="94.13"/>
    <n v="1503.76"/>
    <x v="0"/>
    <x v="3"/>
  </r>
  <r>
    <x v="393"/>
    <s v="Female"/>
    <x v="0"/>
    <s v="No"/>
    <s v="Yes"/>
    <n v="15"/>
    <s v="One year"/>
    <s v="DSL"/>
    <s v="Credit card"/>
    <n v="62.23"/>
    <n v="982.59"/>
    <x v="0"/>
    <x v="3"/>
  </r>
  <r>
    <x v="394"/>
    <s v="Male"/>
    <x v="0"/>
    <s v="Yes"/>
    <s v="No"/>
    <n v="2"/>
    <s v="Month-to-month"/>
    <s v="Fiber optic"/>
    <s v="Electronic check"/>
    <n v="79.430000000000007"/>
    <n v="197.01"/>
    <x v="0"/>
    <x v="2"/>
  </r>
  <r>
    <x v="395"/>
    <s v="Female"/>
    <x v="0"/>
    <s v="Yes"/>
    <s v="No"/>
    <n v="20"/>
    <s v="Month-to-month"/>
    <s v="Fiber optic"/>
    <s v="Credit card"/>
    <n v="78.22"/>
    <n v="1582.41"/>
    <x v="0"/>
    <x v="3"/>
  </r>
  <r>
    <x v="396"/>
    <s v="Female"/>
    <x v="0"/>
    <s v="No"/>
    <s v="Yes"/>
    <n v="63"/>
    <s v="Month-to-month"/>
    <s v="Fiber optic"/>
    <s v="Electronic check"/>
    <n v="69.959999999999994"/>
    <n v="4470.51"/>
    <x v="1"/>
    <x v="1"/>
  </r>
  <r>
    <x v="397"/>
    <s v="Female"/>
    <x v="0"/>
    <s v="Yes"/>
    <s v="Yes"/>
    <n v="35"/>
    <s v="Month-to-month"/>
    <s v="Fiber optic"/>
    <s v="Credit card"/>
    <n v="85.3"/>
    <n v="2965.65"/>
    <x v="0"/>
    <x v="4"/>
  </r>
  <r>
    <x v="398"/>
    <s v="Female"/>
    <x v="1"/>
    <s v="No"/>
    <s v="No"/>
    <n v="61"/>
    <s v="One year"/>
    <s v="Fiber optic"/>
    <s v="Credit card"/>
    <n v="88.77"/>
    <n v="5361.97"/>
    <x v="0"/>
    <x v="1"/>
  </r>
  <r>
    <x v="399"/>
    <s v="Male"/>
    <x v="1"/>
    <s v="No"/>
    <s v="No"/>
    <n v="41"/>
    <s v="Month-to-month"/>
    <s v="DSL"/>
    <s v="Bank transfer"/>
    <n v="38.880000000000003"/>
    <n v="1471.97"/>
    <x v="0"/>
    <x v="5"/>
  </r>
  <r>
    <x v="400"/>
    <s v="Female"/>
    <x v="0"/>
    <s v="No"/>
    <s v="No"/>
    <n v="41"/>
    <s v="Month-to-month"/>
    <s v="Fiber optic"/>
    <s v="Bank transfer"/>
    <n v="120.8"/>
    <n v="4925.38"/>
    <x v="0"/>
    <x v="5"/>
  </r>
  <r>
    <x v="401"/>
    <s v="Female"/>
    <x v="1"/>
    <s v="No"/>
    <s v="Yes"/>
    <n v="60"/>
    <s v="Month-to-month"/>
    <s v="Fiber optic"/>
    <s v="Mailed check"/>
    <n v="90.24"/>
    <n v="5486.51"/>
    <x v="0"/>
    <x v="0"/>
  </r>
  <r>
    <x v="402"/>
    <s v="Male"/>
    <x v="0"/>
    <s v="No"/>
    <s v="No"/>
    <n v="12"/>
    <s v="Month-to-month"/>
    <s v="No"/>
    <s v="Credit card"/>
    <n v="48.43"/>
    <n v="505.98"/>
    <x v="0"/>
    <x v="2"/>
  </r>
  <r>
    <x v="403"/>
    <s v="Male"/>
    <x v="0"/>
    <s v="No"/>
    <s v="No"/>
    <n v="10"/>
    <s v="Month-to-month"/>
    <s v="DSL"/>
    <s v="Credit card"/>
    <n v="75.53"/>
    <n v="775.03"/>
    <x v="1"/>
    <x v="2"/>
  </r>
  <r>
    <x v="404"/>
    <s v="Female"/>
    <x v="0"/>
    <s v="Yes"/>
    <s v="No"/>
    <n v="53"/>
    <s v="Month-to-month"/>
    <s v="DSL"/>
    <s v="Bank transfer"/>
    <n v="93.26"/>
    <n v="4932.93"/>
    <x v="0"/>
    <x v="0"/>
  </r>
  <r>
    <x v="405"/>
    <s v="Female"/>
    <x v="0"/>
    <s v="Yes"/>
    <s v="No"/>
    <n v="15"/>
    <s v="Two year"/>
    <s v="DSL"/>
    <s v="Bank transfer"/>
    <n v="33.33"/>
    <n v="450.29"/>
    <x v="0"/>
    <x v="3"/>
  </r>
  <r>
    <x v="406"/>
    <s v="Female"/>
    <x v="0"/>
    <s v="No"/>
    <s v="No"/>
    <n v="7"/>
    <s v="Month-to-month"/>
    <s v="Fiber optic"/>
    <s v="Bank transfer"/>
    <n v="77.37"/>
    <n v="393.35"/>
    <x v="1"/>
    <x v="2"/>
  </r>
  <r>
    <x v="407"/>
    <s v="Female"/>
    <x v="0"/>
    <s v="No"/>
    <s v="Yes"/>
    <n v="58"/>
    <s v="Month-to-month"/>
    <s v="Fiber optic"/>
    <s v="Credit card"/>
    <n v="50.35"/>
    <n v="3029.33"/>
    <x v="1"/>
    <x v="0"/>
  </r>
  <r>
    <x v="408"/>
    <s v="Female"/>
    <x v="0"/>
    <s v="No"/>
    <s v="No"/>
    <n v="56"/>
    <s v="One year"/>
    <s v="DSL"/>
    <s v="Mailed check"/>
    <n v="136.43"/>
    <n v="7681.46"/>
    <x v="0"/>
    <x v="0"/>
  </r>
  <r>
    <x v="409"/>
    <s v="Female"/>
    <x v="0"/>
    <s v="Yes"/>
    <s v="No"/>
    <n v="39"/>
    <s v="Month-to-month"/>
    <s v="Fiber optic"/>
    <s v="Credit card"/>
    <n v="83.45"/>
    <n v="3467.77"/>
    <x v="0"/>
    <x v="5"/>
  </r>
  <r>
    <x v="410"/>
    <s v="Male"/>
    <x v="0"/>
    <s v="No"/>
    <s v="No"/>
    <n v="58"/>
    <s v="One year"/>
    <s v="DSL"/>
    <s v="Mailed check"/>
    <n v="40.56"/>
    <n v="2438.83"/>
    <x v="0"/>
    <x v="0"/>
  </r>
  <r>
    <x v="411"/>
    <s v="Female"/>
    <x v="0"/>
    <s v="Yes"/>
    <s v="Yes"/>
    <n v="1"/>
    <s v="One year"/>
    <s v="DSL"/>
    <s v="Electronic check"/>
    <n v="140"/>
    <n v="247.24"/>
    <x v="0"/>
    <x v="2"/>
  </r>
  <r>
    <x v="412"/>
    <s v="Female"/>
    <x v="0"/>
    <s v="No"/>
    <s v="No"/>
    <n v="9"/>
    <s v="Month-to-month"/>
    <s v="Fiber optic"/>
    <s v="Mailed check"/>
    <n v="66.599999999999994"/>
    <n v="459.45"/>
    <x v="1"/>
    <x v="2"/>
  </r>
  <r>
    <x v="413"/>
    <s v="Male"/>
    <x v="0"/>
    <s v="No"/>
    <s v="Yes"/>
    <n v="43"/>
    <s v="Month-to-month"/>
    <s v="DSL"/>
    <s v="Mailed check"/>
    <n v="64.77"/>
    <n v="2643.76"/>
    <x v="0"/>
    <x v="5"/>
  </r>
  <r>
    <x v="414"/>
    <s v="Male"/>
    <x v="0"/>
    <s v="Yes"/>
    <s v="No"/>
    <n v="10"/>
    <s v="Month-to-month"/>
    <s v="Fiber optic"/>
    <s v="Electronic check"/>
    <n v="76.58"/>
    <n v="769.18"/>
    <x v="0"/>
    <x v="2"/>
  </r>
  <r>
    <x v="415"/>
    <s v="Male"/>
    <x v="0"/>
    <s v="Yes"/>
    <s v="No"/>
    <n v="1"/>
    <s v="Month-to-month"/>
    <s v="Fiber optic"/>
    <s v="Electronic check"/>
    <n v="58.8"/>
    <n v="29.4"/>
    <x v="1"/>
    <x v="2"/>
  </r>
  <r>
    <x v="416"/>
    <s v="Male"/>
    <x v="0"/>
    <s v="No"/>
    <s v="No"/>
    <n v="49"/>
    <s v="Month-to-month"/>
    <s v="Fiber optic"/>
    <s v="Mailed check"/>
    <n v="86.18"/>
    <n v="4168.32"/>
    <x v="0"/>
    <x v="0"/>
  </r>
  <r>
    <x v="417"/>
    <s v="Female"/>
    <x v="0"/>
    <s v="No"/>
    <s v="Yes"/>
    <n v="11"/>
    <s v="Month-to-month"/>
    <s v="DSL"/>
    <s v="Electronic check"/>
    <n v="20"/>
    <n v="422.1"/>
    <x v="0"/>
    <x v="2"/>
  </r>
  <r>
    <x v="418"/>
    <s v="Female"/>
    <x v="0"/>
    <s v="No"/>
    <s v="Yes"/>
    <n v="22"/>
    <s v="Month-to-month"/>
    <s v="No"/>
    <s v="Electronic check"/>
    <n v="82.15"/>
    <n v="1902.49"/>
    <x v="0"/>
    <x v="3"/>
  </r>
  <r>
    <x v="419"/>
    <s v="Female"/>
    <x v="1"/>
    <s v="Yes"/>
    <s v="No"/>
    <n v="17"/>
    <s v="Month-to-month"/>
    <s v="Fiber optic"/>
    <s v="Bank transfer"/>
    <n v="51.8"/>
    <n v="805.75"/>
    <x v="1"/>
    <x v="3"/>
  </r>
  <r>
    <x v="420"/>
    <s v="Female"/>
    <x v="0"/>
    <s v="Yes"/>
    <s v="Yes"/>
    <n v="61"/>
    <s v="One year"/>
    <s v="Fiber optic"/>
    <s v="Credit card"/>
    <n v="69.62"/>
    <n v="4057.53"/>
    <x v="0"/>
    <x v="1"/>
  </r>
  <r>
    <x v="421"/>
    <s v="Female"/>
    <x v="0"/>
    <s v="Yes"/>
    <s v="Yes"/>
    <n v="61"/>
    <s v="One year"/>
    <s v="DSL"/>
    <s v="Bank transfer"/>
    <n v="88.79"/>
    <n v="5334.6"/>
    <x v="0"/>
    <x v="1"/>
  </r>
  <r>
    <x v="422"/>
    <s v="Female"/>
    <x v="0"/>
    <s v="Yes"/>
    <s v="No"/>
    <n v="37"/>
    <s v="Month-to-month"/>
    <s v="DSL"/>
    <s v="Credit card"/>
    <n v="64.89"/>
    <n v="2356.35"/>
    <x v="0"/>
    <x v="5"/>
  </r>
  <r>
    <x v="423"/>
    <s v="Male"/>
    <x v="0"/>
    <s v="Yes"/>
    <s v="No"/>
    <n v="66"/>
    <s v="Month-to-month"/>
    <s v="DSL"/>
    <s v="Bank transfer"/>
    <n v="65.91"/>
    <n v="4324.3599999999997"/>
    <x v="0"/>
    <x v="1"/>
  </r>
  <r>
    <x v="424"/>
    <s v="Female"/>
    <x v="0"/>
    <s v="Yes"/>
    <s v="Yes"/>
    <n v="37"/>
    <s v="Two year"/>
    <s v="DSL"/>
    <s v="Electronic check"/>
    <n v="44.7"/>
    <n v="1551.58"/>
    <x v="0"/>
    <x v="5"/>
  </r>
  <r>
    <x v="425"/>
    <s v="Male"/>
    <x v="1"/>
    <s v="No"/>
    <s v="No"/>
    <n v="66"/>
    <s v="One year"/>
    <s v="Fiber optic"/>
    <s v="Bank transfer"/>
    <n v="132.38999999999999"/>
    <n v="8828.1299999999992"/>
    <x v="0"/>
    <x v="1"/>
  </r>
  <r>
    <x v="426"/>
    <s v="Male"/>
    <x v="0"/>
    <s v="No"/>
    <s v="Yes"/>
    <n v="60"/>
    <s v="Two year"/>
    <s v="No"/>
    <s v="Bank transfer"/>
    <n v="68.290000000000006"/>
    <n v="4040.48"/>
    <x v="0"/>
    <x v="0"/>
  </r>
  <r>
    <x v="427"/>
    <s v="Female"/>
    <x v="0"/>
    <s v="Yes"/>
    <s v="No"/>
    <n v="0"/>
    <s v="Month-to-month"/>
    <s v="Fiber optic"/>
    <s v="Mailed check"/>
    <n v="52.93"/>
    <n v="51.89"/>
    <x v="1"/>
    <x v="6"/>
  </r>
  <r>
    <x v="428"/>
    <s v="Male"/>
    <x v="0"/>
    <s v="No"/>
    <s v="No"/>
    <n v="44"/>
    <s v="One year"/>
    <s v="DSL"/>
    <s v="Electronic check"/>
    <n v="74.45"/>
    <n v="3280.11"/>
    <x v="0"/>
    <x v="5"/>
  </r>
  <r>
    <x v="429"/>
    <s v="Female"/>
    <x v="0"/>
    <s v="No"/>
    <s v="No"/>
    <n v="27"/>
    <s v="Month-to-month"/>
    <s v="Fiber optic"/>
    <s v="Bank transfer"/>
    <n v="51.16"/>
    <n v="1456.4"/>
    <x v="0"/>
    <x v="4"/>
  </r>
  <r>
    <x v="430"/>
    <s v="Male"/>
    <x v="1"/>
    <s v="Yes"/>
    <s v="No"/>
    <n v="20"/>
    <s v="Month-to-month"/>
    <s v="DSL"/>
    <s v="Electronic check"/>
    <n v="113.06"/>
    <n v="2242.17"/>
    <x v="1"/>
    <x v="3"/>
  </r>
  <r>
    <x v="431"/>
    <s v="Female"/>
    <x v="0"/>
    <s v="No"/>
    <s v="No"/>
    <n v="12"/>
    <s v="Month-to-month"/>
    <s v="Fiber optic"/>
    <s v="Bank transfer"/>
    <n v="84.99"/>
    <n v="945.88"/>
    <x v="1"/>
    <x v="2"/>
  </r>
  <r>
    <x v="432"/>
    <s v="Male"/>
    <x v="0"/>
    <s v="Yes"/>
    <s v="No"/>
    <n v="26"/>
    <s v="Month-to-month"/>
    <s v="Fiber optic"/>
    <s v="Electronic check"/>
    <n v="55.61"/>
    <n v="1397.97"/>
    <x v="0"/>
    <x v="4"/>
  </r>
  <r>
    <x v="433"/>
    <s v="Female"/>
    <x v="0"/>
    <s v="Yes"/>
    <s v="Yes"/>
    <n v="6"/>
    <s v="Month-to-month"/>
    <s v="Fiber optic"/>
    <s v="Mailed check"/>
    <n v="97.44"/>
    <n v="537.88"/>
    <x v="1"/>
    <x v="2"/>
  </r>
  <r>
    <x v="434"/>
    <s v="Female"/>
    <x v="0"/>
    <s v="No"/>
    <s v="No"/>
    <n v="21"/>
    <s v="Month-to-month"/>
    <s v="No"/>
    <s v="Mailed check"/>
    <n v="48.05"/>
    <n v="1174.21"/>
    <x v="1"/>
    <x v="3"/>
  </r>
  <r>
    <x v="435"/>
    <s v="Female"/>
    <x v="0"/>
    <s v="Yes"/>
    <s v="No"/>
    <n v="52"/>
    <s v="One year"/>
    <s v="DSL"/>
    <s v="Electronic check"/>
    <n v="37.79"/>
    <n v="1971.2"/>
    <x v="0"/>
    <x v="0"/>
  </r>
  <r>
    <x v="436"/>
    <s v="Female"/>
    <x v="1"/>
    <s v="Yes"/>
    <s v="No"/>
    <n v="3"/>
    <s v="Two year"/>
    <s v="Fiber optic"/>
    <s v="Mailed check"/>
    <n v="89.53"/>
    <n v="268.95999999999998"/>
    <x v="1"/>
    <x v="2"/>
  </r>
  <r>
    <x v="437"/>
    <s v="Female"/>
    <x v="0"/>
    <s v="Yes"/>
    <s v="No"/>
    <n v="22"/>
    <s v="Month-to-month"/>
    <s v="No"/>
    <s v="Bank transfer"/>
    <n v="63.82"/>
    <n v="1474.6"/>
    <x v="1"/>
    <x v="3"/>
  </r>
  <r>
    <x v="438"/>
    <s v="Male"/>
    <x v="1"/>
    <s v="Yes"/>
    <s v="No"/>
    <n v="69"/>
    <s v="Month-to-month"/>
    <s v="Fiber optic"/>
    <s v="Credit card"/>
    <n v="108.44"/>
    <n v="7482.35"/>
    <x v="1"/>
    <x v="1"/>
  </r>
  <r>
    <x v="439"/>
    <s v="Male"/>
    <x v="0"/>
    <s v="Yes"/>
    <s v="Yes"/>
    <n v="32"/>
    <s v="Month-to-month"/>
    <s v="Fiber optic"/>
    <s v="Credit card"/>
    <n v="81.61"/>
    <n v="2701.25"/>
    <x v="0"/>
    <x v="4"/>
  </r>
  <r>
    <x v="440"/>
    <s v="Male"/>
    <x v="0"/>
    <s v="Yes"/>
    <s v="No"/>
    <n v="27"/>
    <s v="One year"/>
    <s v="No"/>
    <s v="Mailed check"/>
    <n v="57.68"/>
    <n v="1527.59"/>
    <x v="0"/>
    <x v="4"/>
  </r>
  <r>
    <x v="441"/>
    <s v="Female"/>
    <x v="0"/>
    <s v="Yes"/>
    <s v="No"/>
    <n v="7"/>
    <s v="Month-to-month"/>
    <s v="DSL"/>
    <s v="Bank transfer"/>
    <n v="74"/>
    <n v="480.11"/>
    <x v="0"/>
    <x v="2"/>
  </r>
  <r>
    <x v="442"/>
    <s v="Male"/>
    <x v="0"/>
    <s v="Yes"/>
    <s v="No"/>
    <n v="0"/>
    <s v="Two year"/>
    <s v="No"/>
    <s v="Electronic check"/>
    <n v="94.88"/>
    <n v="47.44"/>
    <x v="0"/>
    <x v="6"/>
  </r>
  <r>
    <x v="443"/>
    <s v="Female"/>
    <x v="0"/>
    <s v="No"/>
    <s v="No"/>
    <n v="36"/>
    <s v="Month-to-month"/>
    <s v="DSL"/>
    <s v="Electronic check"/>
    <n v="62.25"/>
    <n v="2389"/>
    <x v="0"/>
    <x v="4"/>
  </r>
  <r>
    <x v="444"/>
    <s v="Female"/>
    <x v="0"/>
    <s v="No"/>
    <s v="No"/>
    <n v="62"/>
    <s v="Month-to-month"/>
    <s v="Fiber optic"/>
    <s v="Electronic check"/>
    <n v="91.74"/>
    <n v="5682.29"/>
    <x v="0"/>
    <x v="1"/>
  </r>
  <r>
    <x v="445"/>
    <s v="Male"/>
    <x v="1"/>
    <s v="No"/>
    <s v="No"/>
    <n v="21"/>
    <s v="One year"/>
    <s v="No"/>
    <s v="Mailed check"/>
    <n v="70.42"/>
    <n v="1384.9"/>
    <x v="1"/>
    <x v="3"/>
  </r>
  <r>
    <x v="446"/>
    <s v="Male"/>
    <x v="1"/>
    <s v="Yes"/>
    <s v="Yes"/>
    <n v="69"/>
    <s v="Two year"/>
    <s v="DSL"/>
    <s v="Electronic check"/>
    <n v="78.739999999999995"/>
    <n v="5448.81"/>
    <x v="0"/>
    <x v="1"/>
  </r>
  <r>
    <x v="447"/>
    <s v="Female"/>
    <x v="0"/>
    <s v="Yes"/>
    <s v="Yes"/>
    <n v="20"/>
    <s v="Month-to-month"/>
    <s v="Fiber optic"/>
    <s v="Electronic check"/>
    <n v="71.3"/>
    <n v="1374"/>
    <x v="0"/>
    <x v="3"/>
  </r>
  <r>
    <x v="448"/>
    <s v="Male"/>
    <x v="0"/>
    <s v="No"/>
    <s v="Yes"/>
    <n v="34"/>
    <s v="Month-to-month"/>
    <s v="DSL"/>
    <s v="Bank transfer"/>
    <n v="73.02"/>
    <n v="2451.5100000000002"/>
    <x v="0"/>
    <x v="4"/>
  </r>
  <r>
    <x v="449"/>
    <s v="Female"/>
    <x v="0"/>
    <s v="No"/>
    <s v="No"/>
    <n v="4"/>
    <s v="Two year"/>
    <s v="No"/>
    <s v="Bank transfer"/>
    <n v="52.66"/>
    <n v="235.5"/>
    <x v="1"/>
    <x v="2"/>
  </r>
  <r>
    <x v="450"/>
    <s v="Female"/>
    <x v="0"/>
    <s v="No"/>
    <s v="Yes"/>
    <n v="59"/>
    <s v="Month-to-month"/>
    <s v="Fiber optic"/>
    <s v="Mailed check"/>
    <n v="128.97999999999999"/>
    <n v="7731.5"/>
    <x v="0"/>
    <x v="0"/>
  </r>
  <r>
    <x v="451"/>
    <s v="Female"/>
    <x v="0"/>
    <s v="Yes"/>
    <s v="No"/>
    <n v="45"/>
    <s v="Two year"/>
    <s v="Fiber optic"/>
    <s v="Electronic check"/>
    <n v="68.56"/>
    <n v="3093.33"/>
    <x v="1"/>
    <x v="5"/>
  </r>
  <r>
    <x v="452"/>
    <s v="Female"/>
    <x v="0"/>
    <s v="No"/>
    <s v="No"/>
    <n v="49"/>
    <s v="Month-to-month"/>
    <s v="Fiber optic"/>
    <s v="Mailed check"/>
    <n v="57.19"/>
    <n v="2745.43"/>
    <x v="0"/>
    <x v="0"/>
  </r>
  <r>
    <x v="453"/>
    <s v="Female"/>
    <x v="0"/>
    <s v="No"/>
    <s v="No"/>
    <n v="47"/>
    <s v="One year"/>
    <s v="Fiber optic"/>
    <s v="Mailed check"/>
    <n v="79.84"/>
    <n v="3712.09"/>
    <x v="0"/>
    <x v="5"/>
  </r>
  <r>
    <x v="454"/>
    <s v="Male"/>
    <x v="0"/>
    <s v="Yes"/>
    <s v="No"/>
    <n v="5"/>
    <s v="One year"/>
    <s v="Fiber optic"/>
    <s v="Bank transfer"/>
    <n v="78.08"/>
    <n v="442.92"/>
    <x v="1"/>
    <x v="2"/>
  </r>
  <r>
    <x v="455"/>
    <s v="Male"/>
    <x v="0"/>
    <s v="No"/>
    <s v="Yes"/>
    <n v="55"/>
    <s v="Month-to-month"/>
    <s v="Fiber optic"/>
    <s v="Electronic check"/>
    <n v="84.92"/>
    <n v="4513.93"/>
    <x v="0"/>
    <x v="0"/>
  </r>
  <r>
    <x v="456"/>
    <s v="Female"/>
    <x v="0"/>
    <s v="Yes"/>
    <s v="No"/>
    <n v="58"/>
    <s v="Two year"/>
    <s v="Fiber optic"/>
    <s v="Bank transfer"/>
    <n v="68.56"/>
    <n v="3893.07"/>
    <x v="0"/>
    <x v="0"/>
  </r>
  <r>
    <x v="457"/>
    <s v="Female"/>
    <x v="1"/>
    <s v="Yes"/>
    <s v="No"/>
    <n v="28"/>
    <s v="Month-to-month"/>
    <s v="Fiber optic"/>
    <s v="Credit card"/>
    <n v="82.76"/>
    <n v="2334.29"/>
    <x v="0"/>
    <x v="4"/>
  </r>
  <r>
    <x v="458"/>
    <s v="Male"/>
    <x v="0"/>
    <s v="Yes"/>
    <s v="No"/>
    <n v="70"/>
    <s v="Month-to-month"/>
    <s v="DSL"/>
    <s v="Electronic check"/>
    <n v="73.239999999999995"/>
    <n v="4990.2700000000004"/>
    <x v="0"/>
    <x v="1"/>
  </r>
  <r>
    <x v="459"/>
    <s v="Male"/>
    <x v="0"/>
    <s v="No"/>
    <s v="No"/>
    <n v="17"/>
    <s v="One year"/>
    <s v="DSL"/>
    <s v="Credit card"/>
    <n v="92.65"/>
    <n v="1550.05"/>
    <x v="0"/>
    <x v="3"/>
  </r>
  <r>
    <x v="460"/>
    <s v="Female"/>
    <x v="1"/>
    <s v="No"/>
    <s v="No"/>
    <n v="1"/>
    <s v="Month-to-month"/>
    <s v="DSL"/>
    <s v="Mailed check"/>
    <n v="72.33"/>
    <n v="36.164999999999999"/>
    <x v="0"/>
    <x v="2"/>
  </r>
  <r>
    <x v="461"/>
    <s v="Male"/>
    <x v="0"/>
    <s v="Yes"/>
    <s v="No"/>
    <n v="7"/>
    <s v="One year"/>
    <s v="No"/>
    <s v="Electronic check"/>
    <n v="57.56"/>
    <n v="473.12"/>
    <x v="1"/>
    <x v="2"/>
  </r>
  <r>
    <x v="462"/>
    <s v="Female"/>
    <x v="0"/>
    <s v="No"/>
    <s v="No"/>
    <n v="53"/>
    <s v="Month-to-month"/>
    <s v="Fiber optic"/>
    <s v="Mailed check"/>
    <n v="92.91"/>
    <n v="4904.21"/>
    <x v="0"/>
    <x v="0"/>
  </r>
  <r>
    <x v="463"/>
    <s v="Male"/>
    <x v="0"/>
    <s v="No"/>
    <s v="No"/>
    <n v="37"/>
    <s v="Month-to-month"/>
    <s v="Fiber optic"/>
    <s v="Electronic check"/>
    <n v="101.69"/>
    <n v="3857.47"/>
    <x v="1"/>
    <x v="5"/>
  </r>
  <r>
    <x v="464"/>
    <s v="Female"/>
    <x v="0"/>
    <s v="No"/>
    <s v="No"/>
    <n v="47"/>
    <s v="Month-to-month"/>
    <s v="Fiber optic"/>
    <s v="Electronic check"/>
    <n v="55.41"/>
    <n v="2610.58"/>
    <x v="0"/>
    <x v="5"/>
  </r>
  <r>
    <x v="465"/>
    <s v="Male"/>
    <x v="0"/>
    <s v="No"/>
    <s v="Yes"/>
    <n v="26"/>
    <s v="Month-to-month"/>
    <s v="DSL"/>
    <s v="Mailed check"/>
    <n v="38.69"/>
    <n v="1148.06"/>
    <x v="0"/>
    <x v="4"/>
  </r>
  <r>
    <x v="466"/>
    <s v="Female"/>
    <x v="0"/>
    <s v="Yes"/>
    <s v="No"/>
    <n v="19"/>
    <s v="Month-to-month"/>
    <s v="DSL"/>
    <s v="Bank transfer"/>
    <n v="112.39"/>
    <n v="2024.41"/>
    <x v="0"/>
    <x v="3"/>
  </r>
  <r>
    <x v="467"/>
    <s v="Male"/>
    <x v="0"/>
    <s v="No"/>
    <s v="Yes"/>
    <n v="11"/>
    <s v="One year"/>
    <s v="Fiber optic"/>
    <s v="Credit card"/>
    <n v="97.6"/>
    <n v="1202.97"/>
    <x v="0"/>
    <x v="2"/>
  </r>
  <r>
    <x v="468"/>
    <s v="Male"/>
    <x v="0"/>
    <s v="Yes"/>
    <s v="No"/>
    <n v="42"/>
    <s v="Two year"/>
    <s v="Fiber optic"/>
    <s v="Bank transfer"/>
    <n v="74.52"/>
    <n v="3096.95"/>
    <x v="0"/>
    <x v="5"/>
  </r>
  <r>
    <x v="469"/>
    <s v="Female"/>
    <x v="0"/>
    <s v="Yes"/>
    <s v="No"/>
    <n v="60"/>
    <s v="Two year"/>
    <s v="No"/>
    <s v="Electronic check"/>
    <n v="55.49"/>
    <n v="3447.32"/>
    <x v="0"/>
    <x v="0"/>
  </r>
  <r>
    <x v="470"/>
    <s v="Male"/>
    <x v="0"/>
    <s v="No"/>
    <s v="Yes"/>
    <n v="30"/>
    <s v="Month-to-month"/>
    <s v="Fiber optic"/>
    <s v="Bank transfer"/>
    <n v="70.19"/>
    <n v="2200.52"/>
    <x v="0"/>
    <x v="4"/>
  </r>
  <r>
    <x v="471"/>
    <s v="Female"/>
    <x v="0"/>
    <s v="Yes"/>
    <s v="No"/>
    <n v="60"/>
    <s v="Month-to-month"/>
    <s v="Fiber optic"/>
    <s v="Bank transfer"/>
    <n v="85.28"/>
    <n v="4888.6499999999996"/>
    <x v="0"/>
    <x v="0"/>
  </r>
  <r>
    <x v="472"/>
    <s v="Male"/>
    <x v="0"/>
    <s v="No"/>
    <s v="No"/>
    <n v="66"/>
    <s v="Month-to-month"/>
    <s v="Fiber optic"/>
    <s v="Credit card"/>
    <n v="55.7"/>
    <n v="3714.53"/>
    <x v="0"/>
    <x v="1"/>
  </r>
  <r>
    <x v="473"/>
    <s v="Female"/>
    <x v="0"/>
    <s v="No"/>
    <s v="No"/>
    <n v="34"/>
    <s v="Month-to-month"/>
    <s v="No"/>
    <s v="Credit card"/>
    <n v="76"/>
    <n v="2663.81"/>
    <x v="0"/>
    <x v="4"/>
  </r>
  <r>
    <x v="474"/>
    <s v="Male"/>
    <x v="1"/>
    <s v="Yes"/>
    <s v="No"/>
    <n v="14"/>
    <s v="Month-to-month"/>
    <s v="Fiber optic"/>
    <s v="Credit card"/>
    <n v="84.39"/>
    <n v="1287.75"/>
    <x v="1"/>
    <x v="3"/>
  </r>
  <r>
    <x v="475"/>
    <s v="Female"/>
    <x v="0"/>
    <s v="Yes"/>
    <s v="No"/>
    <n v="15"/>
    <s v="Month-to-month"/>
    <s v="DSL"/>
    <s v="Mailed check"/>
    <n v="75.290000000000006"/>
    <n v="1035.22"/>
    <x v="0"/>
    <x v="3"/>
  </r>
  <r>
    <x v="476"/>
    <s v="Male"/>
    <x v="0"/>
    <s v="Yes"/>
    <s v="Yes"/>
    <n v="12"/>
    <s v="Month-to-month"/>
    <s v="Fiber optic"/>
    <s v="Bank transfer"/>
    <n v="57.65"/>
    <n v="739.03"/>
    <x v="0"/>
    <x v="2"/>
  </r>
  <r>
    <x v="477"/>
    <s v="Female"/>
    <x v="1"/>
    <s v="Yes"/>
    <s v="No"/>
    <n v="34"/>
    <s v="Two year"/>
    <s v="Fiber optic"/>
    <s v="Electronic check"/>
    <n v="93.11"/>
    <n v="3181.35"/>
    <x v="0"/>
    <x v="4"/>
  </r>
  <r>
    <x v="478"/>
    <s v="Male"/>
    <x v="0"/>
    <s v="No"/>
    <s v="Yes"/>
    <n v="58"/>
    <s v="Month-to-month"/>
    <s v="Fiber optic"/>
    <s v="Credit card"/>
    <n v="58.23"/>
    <n v="3411.85"/>
    <x v="0"/>
    <x v="0"/>
  </r>
  <r>
    <x v="479"/>
    <s v="Female"/>
    <x v="0"/>
    <s v="No"/>
    <s v="No"/>
    <n v="20"/>
    <s v="Month-to-month"/>
    <s v="DSL"/>
    <s v="Electronic check"/>
    <n v="52.7"/>
    <n v="1133.9100000000001"/>
    <x v="0"/>
    <x v="3"/>
  </r>
  <r>
    <x v="480"/>
    <s v="Female"/>
    <x v="0"/>
    <s v="No"/>
    <s v="Yes"/>
    <n v="53"/>
    <s v="Month-to-month"/>
    <s v="No"/>
    <s v="Electronic check"/>
    <n v="57.19"/>
    <n v="3123.61"/>
    <x v="0"/>
    <x v="0"/>
  </r>
  <r>
    <x v="481"/>
    <s v="Female"/>
    <x v="0"/>
    <s v="Yes"/>
    <s v="No"/>
    <n v="29"/>
    <s v="Month-to-month"/>
    <s v="No"/>
    <s v="Electronic check"/>
    <n v="117.68"/>
    <n v="3360.26"/>
    <x v="0"/>
    <x v="4"/>
  </r>
  <r>
    <x v="482"/>
    <s v="Male"/>
    <x v="1"/>
    <s v="Yes"/>
    <s v="No"/>
    <n v="47"/>
    <s v="Two year"/>
    <s v="DSL"/>
    <s v="Bank transfer"/>
    <n v="74.290000000000006"/>
    <n v="3512.86"/>
    <x v="0"/>
    <x v="5"/>
  </r>
  <r>
    <x v="483"/>
    <s v="Female"/>
    <x v="1"/>
    <s v="Yes"/>
    <s v="Yes"/>
    <n v="34"/>
    <s v="Month-to-month"/>
    <s v="No"/>
    <s v="Mailed check"/>
    <n v="20"/>
    <n v="683.29"/>
    <x v="0"/>
    <x v="4"/>
  </r>
  <r>
    <x v="484"/>
    <s v="Male"/>
    <x v="0"/>
    <s v="No"/>
    <s v="No"/>
    <n v="37"/>
    <s v="Month-to-month"/>
    <s v="DSL"/>
    <s v="Mailed check"/>
    <n v="53.94"/>
    <n v="1976.63"/>
    <x v="0"/>
    <x v="5"/>
  </r>
  <r>
    <x v="485"/>
    <s v="Female"/>
    <x v="0"/>
    <s v="Yes"/>
    <s v="No"/>
    <n v="30"/>
    <s v="Month-to-month"/>
    <s v="DSL"/>
    <s v="Credit card"/>
    <n v="87.09"/>
    <n v="2601.1999999999998"/>
    <x v="0"/>
    <x v="4"/>
  </r>
  <r>
    <x v="486"/>
    <s v="Male"/>
    <x v="0"/>
    <s v="No"/>
    <s v="No"/>
    <n v="23"/>
    <s v="Month-to-month"/>
    <s v="DSL"/>
    <s v="Credit card"/>
    <n v="41.79"/>
    <n v="976.85"/>
    <x v="0"/>
    <x v="3"/>
  </r>
  <r>
    <x v="487"/>
    <s v="Female"/>
    <x v="0"/>
    <s v="Yes"/>
    <s v="No"/>
    <n v="48"/>
    <s v="Month-to-month"/>
    <s v="DSL"/>
    <s v="Electronic check"/>
    <n v="90.78"/>
    <n v="4309.28"/>
    <x v="0"/>
    <x v="5"/>
  </r>
  <r>
    <x v="488"/>
    <s v="Male"/>
    <x v="0"/>
    <s v="No"/>
    <s v="No"/>
    <n v="31"/>
    <s v="Two year"/>
    <s v="Fiber optic"/>
    <s v="Electronic check"/>
    <n v="83.97"/>
    <n v="2673.71"/>
    <x v="0"/>
    <x v="4"/>
  </r>
  <r>
    <x v="489"/>
    <s v="Male"/>
    <x v="0"/>
    <s v="No"/>
    <s v="No"/>
    <n v="54"/>
    <s v="Two year"/>
    <s v="DSL"/>
    <s v="Credit card"/>
    <n v="94.78"/>
    <n v="5219.66"/>
    <x v="0"/>
    <x v="0"/>
  </r>
  <r>
    <x v="490"/>
    <s v="Female"/>
    <x v="0"/>
    <s v="Yes"/>
    <s v="Yes"/>
    <n v="57"/>
    <s v="One year"/>
    <s v="DSL"/>
    <s v="Credit card"/>
    <n v="56.03"/>
    <n v="3128.06"/>
    <x v="0"/>
    <x v="0"/>
  </r>
  <r>
    <x v="491"/>
    <s v="Male"/>
    <x v="0"/>
    <s v="Yes"/>
    <s v="Yes"/>
    <n v="2"/>
    <s v="Month-to-month"/>
    <s v="DSL"/>
    <s v="Mailed check"/>
    <n v="54.08"/>
    <n v="213.63"/>
    <x v="0"/>
    <x v="2"/>
  </r>
  <r>
    <x v="492"/>
    <s v="Male"/>
    <x v="0"/>
    <s v="No"/>
    <s v="No"/>
    <n v="68"/>
    <s v="Two year"/>
    <s v="DSL"/>
    <s v="Bank transfer"/>
    <n v="84.12"/>
    <n v="5654.66"/>
    <x v="0"/>
    <x v="1"/>
  </r>
  <r>
    <x v="493"/>
    <s v="Female"/>
    <x v="0"/>
    <s v="No"/>
    <s v="No"/>
    <n v="9"/>
    <s v="Month-to-month"/>
    <s v="DSL"/>
    <s v="Electronic check"/>
    <n v="69.81"/>
    <n v="700.11"/>
    <x v="0"/>
    <x v="2"/>
  </r>
  <r>
    <x v="494"/>
    <s v="Male"/>
    <x v="0"/>
    <s v="Yes"/>
    <s v="No"/>
    <n v="24"/>
    <s v="Month-to-month"/>
    <s v="Fiber optic"/>
    <s v="Credit card"/>
    <n v="78.3"/>
    <n v="1984.52"/>
    <x v="0"/>
    <x v="3"/>
  </r>
  <r>
    <x v="495"/>
    <s v="Male"/>
    <x v="1"/>
    <s v="Yes"/>
    <s v="No"/>
    <n v="67"/>
    <s v="One year"/>
    <s v="DSL"/>
    <s v="Bank transfer"/>
    <n v="109.22"/>
    <n v="7310.18"/>
    <x v="0"/>
    <x v="1"/>
  </r>
  <r>
    <x v="496"/>
    <s v="Male"/>
    <x v="0"/>
    <s v="No"/>
    <s v="No"/>
    <n v="60"/>
    <s v="Month-to-month"/>
    <s v="No"/>
    <s v="Mailed check"/>
    <n v="70.099999999999994"/>
    <n v="4141.16"/>
    <x v="0"/>
    <x v="0"/>
  </r>
  <r>
    <x v="497"/>
    <s v="Female"/>
    <x v="1"/>
    <s v="Yes"/>
    <s v="No"/>
    <n v="28"/>
    <s v="Month-to-month"/>
    <s v="Fiber optic"/>
    <s v="Electronic check"/>
    <n v="30.25"/>
    <n v="799.91"/>
    <x v="0"/>
    <x v="4"/>
  </r>
  <r>
    <x v="498"/>
    <s v="Male"/>
    <x v="0"/>
    <s v="No"/>
    <s v="No"/>
    <n v="18"/>
    <s v="One year"/>
    <s v="DSL"/>
    <s v="Credit card"/>
    <n v="89.98"/>
    <n v="1648.59"/>
    <x v="0"/>
    <x v="3"/>
  </r>
  <r>
    <x v="499"/>
    <s v="Female"/>
    <x v="0"/>
    <s v="No"/>
    <s v="No"/>
    <n v="42"/>
    <s v="Month-to-month"/>
    <s v="No"/>
    <s v="Bank transfer"/>
    <n v="72.47"/>
    <n v="3200.91"/>
    <x v="0"/>
    <x v="5"/>
  </r>
  <r>
    <x v="500"/>
    <s v="Male"/>
    <x v="0"/>
    <s v="Yes"/>
    <s v="No"/>
    <n v="65"/>
    <s v="One year"/>
    <s v="DSL"/>
    <s v="Electronic check"/>
    <n v="99.62"/>
    <n v="6339.88"/>
    <x v="0"/>
    <x v="1"/>
  </r>
  <r>
    <x v="501"/>
    <s v="Male"/>
    <x v="0"/>
    <s v="Yes"/>
    <s v="No"/>
    <n v="60"/>
    <s v="Month-to-month"/>
    <s v="DSL"/>
    <s v="Bank transfer"/>
    <n v="46.51"/>
    <n v="2798.62"/>
    <x v="0"/>
    <x v="0"/>
  </r>
  <r>
    <x v="502"/>
    <s v="Male"/>
    <x v="0"/>
    <s v="Yes"/>
    <s v="No"/>
    <n v="42"/>
    <s v="Two year"/>
    <s v="DSL"/>
    <s v="Bank transfer"/>
    <n v="78.12"/>
    <n v="3273.99"/>
    <x v="0"/>
    <x v="5"/>
  </r>
  <r>
    <x v="503"/>
    <s v="Female"/>
    <x v="0"/>
    <s v="Yes"/>
    <s v="No"/>
    <n v="24"/>
    <s v="Two year"/>
    <s v="DSL"/>
    <s v="Mailed check"/>
    <n v="72.790000000000006"/>
    <n v="1710.44"/>
    <x v="0"/>
    <x v="3"/>
  </r>
  <r>
    <x v="504"/>
    <s v="Male"/>
    <x v="0"/>
    <s v="Yes"/>
    <s v="Yes"/>
    <n v="19"/>
    <s v="Two year"/>
    <s v="Fiber optic"/>
    <s v="Bank transfer"/>
    <n v="56.06"/>
    <n v="1058.68"/>
    <x v="0"/>
    <x v="3"/>
  </r>
  <r>
    <x v="505"/>
    <s v="Male"/>
    <x v="0"/>
    <s v="No"/>
    <s v="Yes"/>
    <n v="47"/>
    <s v="Month-to-month"/>
    <s v="Fiber optic"/>
    <s v="Bank transfer"/>
    <n v="103.67"/>
    <n v="4829.1099999999997"/>
    <x v="0"/>
    <x v="5"/>
  </r>
  <r>
    <x v="506"/>
    <s v="Female"/>
    <x v="0"/>
    <s v="No"/>
    <s v="No"/>
    <n v="23"/>
    <s v="Month-to-month"/>
    <s v="DSL"/>
    <s v="Credit card"/>
    <n v="63.96"/>
    <n v="1570.53"/>
    <x v="0"/>
    <x v="3"/>
  </r>
  <r>
    <x v="507"/>
    <s v="Male"/>
    <x v="0"/>
    <s v="Yes"/>
    <s v="No"/>
    <n v="10"/>
    <s v="Month-to-month"/>
    <s v="Fiber optic"/>
    <s v="Electronic check"/>
    <n v="108.82"/>
    <n v="1195.5999999999999"/>
    <x v="1"/>
    <x v="2"/>
  </r>
  <r>
    <x v="508"/>
    <s v="Female"/>
    <x v="0"/>
    <s v="Yes"/>
    <s v="No"/>
    <n v="54"/>
    <s v="Month-to-month"/>
    <s v="DSL"/>
    <s v="Electronic check"/>
    <n v="51.43"/>
    <n v="2784.27"/>
    <x v="1"/>
    <x v="0"/>
  </r>
  <r>
    <x v="509"/>
    <s v="Female"/>
    <x v="0"/>
    <s v="Yes"/>
    <s v="No"/>
    <n v="27"/>
    <s v="Month-to-month"/>
    <s v="Fiber optic"/>
    <s v="Electronic check"/>
    <n v="43.49"/>
    <n v="1162.94"/>
    <x v="0"/>
    <x v="4"/>
  </r>
  <r>
    <x v="510"/>
    <s v="Male"/>
    <x v="0"/>
    <s v="No"/>
    <s v="Yes"/>
    <n v="68"/>
    <s v="One year"/>
    <s v="DSL"/>
    <s v="Bank transfer"/>
    <n v="63.94"/>
    <n v="4308.4799999999996"/>
    <x v="0"/>
    <x v="1"/>
  </r>
  <r>
    <x v="511"/>
    <s v="Female"/>
    <x v="0"/>
    <s v="Yes"/>
    <s v="No"/>
    <n v="62"/>
    <s v="Month-to-month"/>
    <s v="DSL"/>
    <s v="Bank transfer"/>
    <n v="75.8"/>
    <n v="4706.82"/>
    <x v="0"/>
    <x v="1"/>
  </r>
  <r>
    <x v="512"/>
    <s v="Male"/>
    <x v="0"/>
    <s v="Yes"/>
    <s v="No"/>
    <n v="58"/>
    <s v="Two year"/>
    <s v="DSL"/>
    <s v="Credit card"/>
    <n v="56.65"/>
    <n v="3433.53"/>
    <x v="0"/>
    <x v="0"/>
  </r>
  <r>
    <x v="513"/>
    <s v="Female"/>
    <x v="1"/>
    <s v="No"/>
    <s v="No"/>
    <n v="4"/>
    <s v="Month-to-month"/>
    <s v="DSL"/>
    <s v="Bank transfer"/>
    <n v="20"/>
    <n v="71.7"/>
    <x v="0"/>
    <x v="2"/>
  </r>
  <r>
    <x v="514"/>
    <s v="Female"/>
    <x v="0"/>
    <s v="No"/>
    <s v="No"/>
    <n v="50"/>
    <s v="Month-to-month"/>
    <s v="Fiber optic"/>
    <s v="Mailed check"/>
    <n v="89.59"/>
    <n v="4412.3500000000004"/>
    <x v="0"/>
    <x v="0"/>
  </r>
  <r>
    <x v="515"/>
    <s v="Male"/>
    <x v="0"/>
    <s v="Yes"/>
    <s v="No"/>
    <n v="20"/>
    <s v="Month-to-month"/>
    <s v="Fiber optic"/>
    <s v="Credit card"/>
    <n v="89.47"/>
    <n v="1757.58"/>
    <x v="0"/>
    <x v="3"/>
  </r>
  <r>
    <x v="516"/>
    <s v="Female"/>
    <x v="0"/>
    <s v="Yes"/>
    <s v="Yes"/>
    <n v="11"/>
    <s v="Two year"/>
    <s v="DSL"/>
    <s v="Electronic check"/>
    <n v="87.18"/>
    <n v="1019.26"/>
    <x v="1"/>
    <x v="2"/>
  </r>
  <r>
    <x v="517"/>
    <s v="Female"/>
    <x v="0"/>
    <s v="Yes"/>
    <s v="No"/>
    <n v="49"/>
    <s v="One year"/>
    <s v="Fiber optic"/>
    <s v="Credit card"/>
    <n v="70.489999999999995"/>
    <n v="3396.59"/>
    <x v="0"/>
    <x v="0"/>
  </r>
  <r>
    <x v="518"/>
    <s v="Female"/>
    <x v="0"/>
    <s v="No"/>
    <s v="No"/>
    <n v="3"/>
    <s v="Two year"/>
    <s v="Fiber optic"/>
    <s v="Mailed check"/>
    <n v="69.12"/>
    <n v="204.66"/>
    <x v="0"/>
    <x v="2"/>
  </r>
  <r>
    <x v="519"/>
    <s v="Female"/>
    <x v="1"/>
    <s v="Yes"/>
    <s v="No"/>
    <n v="41"/>
    <s v="Two year"/>
    <s v="No"/>
    <s v="Bank transfer"/>
    <n v="91.01"/>
    <n v="3769.24"/>
    <x v="0"/>
    <x v="5"/>
  </r>
  <r>
    <x v="520"/>
    <s v="Female"/>
    <x v="0"/>
    <s v="Yes"/>
    <s v="No"/>
    <n v="37"/>
    <s v="Month-to-month"/>
    <s v="DSL"/>
    <s v="Bank transfer"/>
    <n v="30.61"/>
    <n v="1081.22"/>
    <x v="1"/>
    <x v="5"/>
  </r>
  <r>
    <x v="521"/>
    <s v="Male"/>
    <x v="0"/>
    <s v="Yes"/>
    <s v="Yes"/>
    <n v="24"/>
    <s v="Month-to-month"/>
    <s v="Fiber optic"/>
    <s v="Bank transfer"/>
    <n v="73.819999999999993"/>
    <n v="1630.53"/>
    <x v="1"/>
    <x v="3"/>
  </r>
  <r>
    <x v="522"/>
    <s v="Female"/>
    <x v="0"/>
    <s v="No"/>
    <s v="Yes"/>
    <n v="13"/>
    <s v="Month-to-month"/>
    <s v="No"/>
    <s v="Electronic check"/>
    <n v="58.56"/>
    <n v="675.57"/>
    <x v="0"/>
    <x v="3"/>
  </r>
  <r>
    <x v="523"/>
    <s v="Male"/>
    <x v="0"/>
    <s v="No"/>
    <s v="No"/>
    <n v="31"/>
    <s v="One year"/>
    <s v="Fiber optic"/>
    <s v="Mailed check"/>
    <n v="95.15"/>
    <n v="2880.95"/>
    <x v="1"/>
    <x v="4"/>
  </r>
  <r>
    <x v="524"/>
    <s v="Female"/>
    <x v="0"/>
    <s v="Yes"/>
    <s v="No"/>
    <n v="10"/>
    <s v="Month-to-month"/>
    <s v="Fiber optic"/>
    <s v="Mailed check"/>
    <n v="84.24"/>
    <n v="824.09"/>
    <x v="1"/>
    <x v="2"/>
  </r>
  <r>
    <x v="525"/>
    <s v="Male"/>
    <x v="0"/>
    <s v="Yes"/>
    <s v="Yes"/>
    <n v="60"/>
    <s v="Month-to-month"/>
    <s v="DSL"/>
    <s v="Credit card"/>
    <n v="46.95"/>
    <n v="2820.54"/>
    <x v="0"/>
    <x v="0"/>
  </r>
  <r>
    <x v="526"/>
    <s v="Male"/>
    <x v="0"/>
    <s v="No"/>
    <s v="Yes"/>
    <n v="17"/>
    <s v="Two year"/>
    <s v="DSL"/>
    <s v="Mailed check"/>
    <n v="99.19"/>
    <n v="1752.13"/>
    <x v="0"/>
    <x v="3"/>
  </r>
  <r>
    <x v="527"/>
    <s v="Female"/>
    <x v="0"/>
    <s v="No"/>
    <s v="No"/>
    <n v="26"/>
    <s v="Two year"/>
    <s v="Fiber optic"/>
    <s v="Credit card"/>
    <n v="80.05"/>
    <n v="1983.12"/>
    <x v="0"/>
    <x v="4"/>
  </r>
  <r>
    <x v="528"/>
    <s v="Female"/>
    <x v="0"/>
    <s v="No"/>
    <s v="Yes"/>
    <n v="54"/>
    <s v="One year"/>
    <s v="Fiber optic"/>
    <s v="Mailed check"/>
    <n v="38.299999999999997"/>
    <n v="2122.46"/>
    <x v="1"/>
    <x v="0"/>
  </r>
  <r>
    <x v="529"/>
    <s v="Female"/>
    <x v="0"/>
    <s v="No"/>
    <s v="No"/>
    <n v="53"/>
    <s v="One year"/>
    <s v="DSL"/>
    <s v="Mailed check"/>
    <n v="75.23"/>
    <n v="3957.52"/>
    <x v="0"/>
    <x v="0"/>
  </r>
  <r>
    <x v="530"/>
    <s v="Male"/>
    <x v="1"/>
    <s v="No"/>
    <s v="No"/>
    <n v="20"/>
    <s v="One year"/>
    <s v="Fiber optic"/>
    <s v="Credit card"/>
    <n v="91.88"/>
    <n v="1694.76"/>
    <x v="0"/>
    <x v="3"/>
  </r>
  <r>
    <x v="531"/>
    <s v="Female"/>
    <x v="0"/>
    <s v="No"/>
    <s v="No"/>
    <n v="43"/>
    <s v="Month-to-month"/>
    <s v="Fiber optic"/>
    <s v="Bank transfer"/>
    <n v="129.02000000000001"/>
    <n v="5548.95"/>
    <x v="0"/>
    <x v="5"/>
  </r>
  <r>
    <x v="532"/>
    <s v="Male"/>
    <x v="0"/>
    <s v="No"/>
    <s v="Yes"/>
    <n v="4"/>
    <s v="Month-to-month"/>
    <s v="Fiber optic"/>
    <s v="Credit card"/>
    <n v="90.22"/>
    <n v="466.18"/>
    <x v="1"/>
    <x v="2"/>
  </r>
  <r>
    <x v="533"/>
    <s v="Male"/>
    <x v="1"/>
    <s v="No"/>
    <s v="Yes"/>
    <n v="40"/>
    <s v="One year"/>
    <s v="Fiber optic"/>
    <s v="Bank transfer"/>
    <n v="42.95"/>
    <n v="1788.65"/>
    <x v="0"/>
    <x v="5"/>
  </r>
  <r>
    <x v="534"/>
    <s v="Male"/>
    <x v="1"/>
    <s v="No"/>
    <s v="No"/>
    <n v="58"/>
    <s v="One year"/>
    <s v="Fiber optic"/>
    <s v="Mailed check"/>
    <n v="43.83"/>
    <n v="2536.04"/>
    <x v="0"/>
    <x v="0"/>
  </r>
  <r>
    <x v="535"/>
    <s v="Female"/>
    <x v="0"/>
    <s v="Yes"/>
    <s v="No"/>
    <n v="53"/>
    <s v="Month-to-month"/>
    <s v="DSL"/>
    <s v="Electronic check"/>
    <n v="101.47"/>
    <n v="5467.97"/>
    <x v="0"/>
    <x v="0"/>
  </r>
  <r>
    <x v="536"/>
    <s v="Female"/>
    <x v="0"/>
    <s v="Yes"/>
    <s v="No"/>
    <n v="21"/>
    <s v="Two year"/>
    <s v="No"/>
    <s v="Mailed check"/>
    <n v="34.93"/>
    <n v="748.91"/>
    <x v="0"/>
    <x v="3"/>
  </r>
  <r>
    <x v="537"/>
    <s v="Male"/>
    <x v="0"/>
    <s v="Yes"/>
    <s v="Yes"/>
    <n v="64"/>
    <s v="Month-to-month"/>
    <s v="DSL"/>
    <s v="Electronic check"/>
    <n v="31.26"/>
    <n v="2079.14"/>
    <x v="0"/>
    <x v="1"/>
  </r>
  <r>
    <x v="538"/>
    <s v="Male"/>
    <x v="1"/>
    <s v="No"/>
    <s v="No"/>
    <n v="63"/>
    <s v="Month-to-month"/>
    <s v="DSL"/>
    <s v="Bank transfer"/>
    <n v="95.01"/>
    <n v="5852.7"/>
    <x v="0"/>
    <x v="1"/>
  </r>
  <r>
    <x v="539"/>
    <s v="Female"/>
    <x v="0"/>
    <s v="Yes"/>
    <s v="No"/>
    <n v="70"/>
    <s v="One year"/>
    <s v="DSL"/>
    <s v="Electronic check"/>
    <n v="58.11"/>
    <n v="3967.73"/>
    <x v="0"/>
    <x v="1"/>
  </r>
  <r>
    <x v="540"/>
    <s v="Male"/>
    <x v="0"/>
    <s v="No"/>
    <s v="No"/>
    <n v="3"/>
    <s v="Month-to-month"/>
    <s v="DSL"/>
    <s v="Electronic check"/>
    <n v="93.68"/>
    <n v="339.36"/>
    <x v="1"/>
    <x v="2"/>
  </r>
  <r>
    <x v="541"/>
    <s v="Female"/>
    <x v="0"/>
    <s v="No"/>
    <s v="No"/>
    <n v="64"/>
    <s v="Month-to-month"/>
    <s v="DSL"/>
    <s v="Electronic check"/>
    <n v="47.13"/>
    <n v="3139.46"/>
    <x v="0"/>
    <x v="1"/>
  </r>
  <r>
    <x v="542"/>
    <s v="Male"/>
    <x v="0"/>
    <s v="Yes"/>
    <s v="No"/>
    <n v="14"/>
    <s v="Month-to-month"/>
    <s v="DSL"/>
    <s v="Electronic check"/>
    <n v="106.85"/>
    <n v="1529.28"/>
    <x v="1"/>
    <x v="3"/>
  </r>
  <r>
    <x v="543"/>
    <s v="Female"/>
    <x v="0"/>
    <s v="No"/>
    <s v="No"/>
    <n v="21"/>
    <s v="One year"/>
    <s v="Fiber optic"/>
    <s v="Electronic check"/>
    <n v="101.8"/>
    <n v="2098.0100000000002"/>
    <x v="0"/>
    <x v="3"/>
  </r>
  <r>
    <x v="544"/>
    <s v="Male"/>
    <x v="0"/>
    <s v="Yes"/>
    <s v="Yes"/>
    <n v="46"/>
    <s v="Month-to-month"/>
    <s v="DSL"/>
    <s v="Credit card"/>
    <n v="51.93"/>
    <n v="2320.7399999999998"/>
    <x v="0"/>
    <x v="5"/>
  </r>
  <r>
    <x v="545"/>
    <s v="Female"/>
    <x v="0"/>
    <s v="Yes"/>
    <s v="No"/>
    <n v="45"/>
    <s v="One year"/>
    <s v="Fiber optic"/>
    <s v="Bank transfer"/>
    <n v="38.49"/>
    <n v="1706.82"/>
    <x v="1"/>
    <x v="5"/>
  </r>
  <r>
    <x v="546"/>
    <s v="Male"/>
    <x v="0"/>
    <s v="Yes"/>
    <s v="Yes"/>
    <n v="13"/>
    <s v="One year"/>
    <s v="DSL"/>
    <s v="Bank transfer"/>
    <n v="127.63"/>
    <n v="1756.28"/>
    <x v="0"/>
    <x v="3"/>
  </r>
  <r>
    <x v="547"/>
    <s v="Female"/>
    <x v="1"/>
    <s v="No"/>
    <s v="No"/>
    <n v="49"/>
    <s v="Month-to-month"/>
    <s v="No"/>
    <s v="Credit card"/>
    <n v="49.74"/>
    <n v="2409.86"/>
    <x v="1"/>
    <x v="0"/>
  </r>
  <r>
    <x v="548"/>
    <s v="Female"/>
    <x v="0"/>
    <s v="Yes"/>
    <s v="No"/>
    <n v="19"/>
    <s v="Two year"/>
    <s v="Fiber optic"/>
    <s v="Electronic check"/>
    <n v="60.93"/>
    <n v="1241.49"/>
    <x v="0"/>
    <x v="3"/>
  </r>
  <r>
    <x v="549"/>
    <s v="Male"/>
    <x v="1"/>
    <s v="No"/>
    <s v="Yes"/>
    <n v="49"/>
    <s v="Month-to-month"/>
    <s v="DSL"/>
    <s v="Credit card"/>
    <n v="104.66"/>
    <n v="5180.55"/>
    <x v="1"/>
    <x v="0"/>
  </r>
  <r>
    <x v="550"/>
    <s v="Male"/>
    <x v="0"/>
    <s v="Yes"/>
    <s v="No"/>
    <n v="32"/>
    <s v="Two year"/>
    <s v="Fiber optic"/>
    <s v="Electronic check"/>
    <n v="103.64"/>
    <n v="3453.59"/>
    <x v="0"/>
    <x v="4"/>
  </r>
  <r>
    <x v="551"/>
    <s v="Female"/>
    <x v="0"/>
    <s v="Yes"/>
    <s v="Yes"/>
    <n v="58"/>
    <s v="Month-to-month"/>
    <s v="Fiber optic"/>
    <s v="Electronic check"/>
    <n v="109.57"/>
    <n v="6371.08"/>
    <x v="1"/>
    <x v="0"/>
  </r>
  <r>
    <x v="552"/>
    <s v="Male"/>
    <x v="0"/>
    <s v="Yes"/>
    <s v="No"/>
    <n v="42"/>
    <s v="Two year"/>
    <s v="Fiber optic"/>
    <s v="Bank transfer"/>
    <n v="77.540000000000006"/>
    <n v="3252.71"/>
    <x v="0"/>
    <x v="5"/>
  </r>
  <r>
    <x v="553"/>
    <s v="Female"/>
    <x v="0"/>
    <s v="No"/>
    <s v="No"/>
    <n v="11"/>
    <s v="Month-to-month"/>
    <s v="Fiber optic"/>
    <s v="Electronic check"/>
    <n v="127.03"/>
    <n v="1485.14"/>
    <x v="1"/>
    <x v="2"/>
  </r>
  <r>
    <x v="554"/>
    <s v="Male"/>
    <x v="0"/>
    <s v="No"/>
    <s v="Yes"/>
    <n v="39"/>
    <s v="Month-to-month"/>
    <s v="Fiber optic"/>
    <s v="Bank transfer"/>
    <n v="47.23"/>
    <n v="1767.15"/>
    <x v="0"/>
    <x v="5"/>
  </r>
  <r>
    <x v="555"/>
    <s v="Female"/>
    <x v="0"/>
    <s v="No"/>
    <s v="No"/>
    <n v="19"/>
    <s v="Month-to-month"/>
    <s v="Fiber optic"/>
    <s v="Mailed check"/>
    <n v="66.2"/>
    <n v="1222.28"/>
    <x v="1"/>
    <x v="3"/>
  </r>
  <r>
    <x v="556"/>
    <s v="Female"/>
    <x v="0"/>
    <s v="Yes"/>
    <s v="No"/>
    <n v="37"/>
    <s v="Month-to-month"/>
    <s v="Fiber optic"/>
    <s v="Bank transfer"/>
    <n v="89.75"/>
    <n v="3186.35"/>
    <x v="0"/>
    <x v="5"/>
  </r>
  <r>
    <x v="557"/>
    <s v="Female"/>
    <x v="0"/>
    <s v="Yes"/>
    <s v="Yes"/>
    <n v="2"/>
    <s v="One year"/>
    <s v="DSL"/>
    <s v="Mailed check"/>
    <n v="99.2"/>
    <n v="98.05"/>
    <x v="0"/>
    <x v="2"/>
  </r>
  <r>
    <x v="558"/>
    <s v="Female"/>
    <x v="0"/>
    <s v="No"/>
    <s v="Yes"/>
    <n v="27"/>
    <s v="Month-to-month"/>
    <s v="Fiber optic"/>
    <s v="Electronic check"/>
    <n v="96.53"/>
    <n v="2760.18"/>
    <x v="0"/>
    <x v="4"/>
  </r>
  <r>
    <x v="559"/>
    <s v="Female"/>
    <x v="0"/>
    <s v="No"/>
    <s v="No"/>
    <n v="55"/>
    <s v="One year"/>
    <s v="Fiber optic"/>
    <s v="Bank transfer"/>
    <n v="77.930000000000007"/>
    <n v="4341.54"/>
    <x v="0"/>
    <x v="0"/>
  </r>
  <r>
    <x v="560"/>
    <s v="Female"/>
    <x v="0"/>
    <s v="No"/>
    <s v="No"/>
    <n v="12"/>
    <s v="Month-to-month"/>
    <s v="Fiber optic"/>
    <s v="Electronic check"/>
    <n v="68.12"/>
    <n v="707.78"/>
    <x v="0"/>
    <x v="2"/>
  </r>
  <r>
    <x v="561"/>
    <s v="Male"/>
    <x v="0"/>
    <s v="No"/>
    <s v="No"/>
    <n v="65"/>
    <s v="Month-to-month"/>
    <s v="DSL"/>
    <s v="Mailed check"/>
    <n v="99.34"/>
    <n v="6552.69"/>
    <x v="0"/>
    <x v="1"/>
  </r>
  <r>
    <x v="562"/>
    <s v="Male"/>
    <x v="0"/>
    <s v="No"/>
    <s v="Yes"/>
    <n v="36"/>
    <s v="One year"/>
    <s v="Fiber optic"/>
    <s v="Electronic check"/>
    <n v="99.11"/>
    <n v="3511.66"/>
    <x v="0"/>
    <x v="4"/>
  </r>
  <r>
    <x v="563"/>
    <s v="Male"/>
    <x v="0"/>
    <s v="No"/>
    <s v="Yes"/>
    <n v="48"/>
    <s v="Month-to-month"/>
    <s v="No"/>
    <s v="Bank transfer"/>
    <n v="33.14"/>
    <n v="1642"/>
    <x v="0"/>
    <x v="5"/>
  </r>
  <r>
    <x v="564"/>
    <s v="Female"/>
    <x v="0"/>
    <s v="Yes"/>
    <s v="No"/>
    <n v="65"/>
    <s v="One year"/>
    <s v="DSL"/>
    <s v="Bank transfer"/>
    <n v="47.39"/>
    <n v="3130.43"/>
    <x v="0"/>
    <x v="1"/>
  </r>
  <r>
    <x v="565"/>
    <s v="Female"/>
    <x v="0"/>
    <s v="No"/>
    <s v="Yes"/>
    <n v="35"/>
    <s v="One year"/>
    <s v="Fiber optic"/>
    <s v="Mailed check"/>
    <n v="66.36"/>
    <n v="2455.8000000000002"/>
    <x v="0"/>
    <x v="4"/>
  </r>
  <r>
    <x v="566"/>
    <s v="Female"/>
    <x v="0"/>
    <s v="Yes"/>
    <s v="Yes"/>
    <n v="53"/>
    <s v="Two year"/>
    <s v="Fiber optic"/>
    <s v="Credit card"/>
    <n v="63.16"/>
    <n v="3304.46"/>
    <x v="0"/>
    <x v="0"/>
  </r>
  <r>
    <x v="567"/>
    <s v="Female"/>
    <x v="1"/>
    <s v="Yes"/>
    <s v="Yes"/>
    <n v="25"/>
    <s v="Month-to-month"/>
    <s v="Fiber optic"/>
    <s v="Credit card"/>
    <n v="105.75"/>
    <n v="2584.5300000000002"/>
    <x v="0"/>
    <x v="4"/>
  </r>
  <r>
    <x v="568"/>
    <s v="Male"/>
    <x v="0"/>
    <s v="No"/>
    <s v="No"/>
    <n v="71"/>
    <s v="One year"/>
    <s v="Fiber optic"/>
    <s v="Bank transfer"/>
    <n v="90.89"/>
    <n v="6238.07"/>
    <x v="0"/>
    <x v="1"/>
  </r>
  <r>
    <x v="569"/>
    <s v="Male"/>
    <x v="0"/>
    <s v="No"/>
    <s v="No"/>
    <n v="39"/>
    <s v="Two year"/>
    <s v="DSL"/>
    <s v="Bank transfer"/>
    <n v="83.94"/>
    <n v="3263.92"/>
    <x v="0"/>
    <x v="5"/>
  </r>
  <r>
    <x v="570"/>
    <s v="Female"/>
    <x v="0"/>
    <s v="Yes"/>
    <s v="No"/>
    <n v="42"/>
    <s v="One year"/>
    <s v="No"/>
    <s v="Electronic check"/>
    <n v="59.79"/>
    <n v="2569.21"/>
    <x v="1"/>
    <x v="5"/>
  </r>
  <r>
    <x v="571"/>
    <s v="Male"/>
    <x v="0"/>
    <s v="No"/>
    <s v="No"/>
    <n v="21"/>
    <s v="Month-to-month"/>
    <s v="Fiber optic"/>
    <s v="Bank transfer"/>
    <n v="85.97"/>
    <n v="1874.33"/>
    <x v="1"/>
    <x v="3"/>
  </r>
  <r>
    <x v="572"/>
    <s v="Male"/>
    <x v="1"/>
    <s v="No"/>
    <s v="No"/>
    <n v="19"/>
    <s v="One year"/>
    <s v="DSL"/>
    <s v="Electronic check"/>
    <n v="30.45"/>
    <n v="678.74"/>
    <x v="0"/>
    <x v="3"/>
  </r>
  <r>
    <x v="573"/>
    <s v="Female"/>
    <x v="1"/>
    <s v="Yes"/>
    <s v="No"/>
    <n v="7"/>
    <s v="One year"/>
    <s v="DSL"/>
    <s v="Electronic check"/>
    <n v="89.85"/>
    <n v="652.13"/>
    <x v="0"/>
    <x v="2"/>
  </r>
  <r>
    <x v="574"/>
    <s v="Male"/>
    <x v="0"/>
    <s v="Yes"/>
    <s v="Yes"/>
    <n v="28"/>
    <s v="One year"/>
    <s v="Fiber optic"/>
    <s v="Credit card"/>
    <n v="65.91"/>
    <n v="1885.86"/>
    <x v="0"/>
    <x v="4"/>
  </r>
  <r>
    <x v="575"/>
    <s v="Female"/>
    <x v="0"/>
    <s v="Yes"/>
    <s v="No"/>
    <n v="39"/>
    <s v="Month-to-month"/>
    <s v="DSL"/>
    <s v="Bank transfer"/>
    <n v="69.17"/>
    <n v="2703.08"/>
    <x v="0"/>
    <x v="5"/>
  </r>
  <r>
    <x v="576"/>
    <s v="Male"/>
    <x v="0"/>
    <s v="No"/>
    <s v="No"/>
    <n v="29"/>
    <s v="Month-to-month"/>
    <s v="DSL"/>
    <s v="Mailed check"/>
    <n v="58.17"/>
    <n v="1743.53"/>
    <x v="0"/>
    <x v="4"/>
  </r>
  <r>
    <x v="577"/>
    <s v="Female"/>
    <x v="0"/>
    <s v="Yes"/>
    <s v="No"/>
    <n v="54"/>
    <s v="Two year"/>
    <s v="No"/>
    <s v="Electronic check"/>
    <n v="58.65"/>
    <n v="3092.36"/>
    <x v="0"/>
    <x v="0"/>
  </r>
  <r>
    <x v="578"/>
    <s v="Female"/>
    <x v="0"/>
    <s v="No"/>
    <s v="No"/>
    <n v="15"/>
    <s v="Month-to-month"/>
    <s v="DSL"/>
    <s v="Bank transfer"/>
    <n v="84.33"/>
    <n v="1152.27"/>
    <x v="0"/>
    <x v="3"/>
  </r>
  <r>
    <x v="579"/>
    <s v="Female"/>
    <x v="0"/>
    <s v="Yes"/>
    <s v="No"/>
    <n v="45"/>
    <s v="One year"/>
    <s v="Fiber optic"/>
    <s v="Electronic check"/>
    <n v="54.78"/>
    <n v="2398.8000000000002"/>
    <x v="0"/>
    <x v="5"/>
  </r>
  <r>
    <x v="580"/>
    <s v="Female"/>
    <x v="0"/>
    <s v="Yes"/>
    <s v="Yes"/>
    <n v="61"/>
    <s v="Month-to-month"/>
    <s v="DSL"/>
    <s v="Electronic check"/>
    <n v="76.319999999999993"/>
    <n v="4672.6099999999997"/>
    <x v="0"/>
    <x v="1"/>
  </r>
  <r>
    <x v="581"/>
    <s v="Male"/>
    <x v="1"/>
    <s v="Yes"/>
    <s v="No"/>
    <n v="6"/>
    <s v="Month-to-month"/>
    <s v="Fiber optic"/>
    <s v="Electronic check"/>
    <n v="68.77"/>
    <n v="308.58999999999997"/>
    <x v="0"/>
    <x v="2"/>
  </r>
  <r>
    <x v="582"/>
    <s v="Female"/>
    <x v="0"/>
    <s v="No"/>
    <s v="No"/>
    <n v="44"/>
    <s v="Month-to-month"/>
    <s v="Fiber optic"/>
    <s v="Mailed check"/>
    <n v="113.04"/>
    <n v="4923.1000000000004"/>
    <x v="1"/>
    <x v="5"/>
  </r>
  <r>
    <x v="583"/>
    <s v="Female"/>
    <x v="0"/>
    <s v="No"/>
    <s v="No"/>
    <n v="58"/>
    <s v="Month-to-month"/>
    <s v="DSL"/>
    <s v="Bank transfer"/>
    <n v="42.13"/>
    <n v="2395.44"/>
    <x v="0"/>
    <x v="0"/>
  </r>
  <r>
    <x v="584"/>
    <s v="Female"/>
    <x v="0"/>
    <s v="Yes"/>
    <s v="No"/>
    <n v="55"/>
    <s v="Two year"/>
    <s v="Fiber optic"/>
    <s v="Electronic check"/>
    <n v="54.94"/>
    <n v="3084.25"/>
    <x v="0"/>
    <x v="0"/>
  </r>
  <r>
    <x v="585"/>
    <s v="Male"/>
    <x v="0"/>
    <s v="Yes"/>
    <s v="No"/>
    <n v="47"/>
    <s v="Two year"/>
    <s v="DSL"/>
    <s v="Bank transfer"/>
    <n v="61.01"/>
    <n v="2920.28"/>
    <x v="0"/>
    <x v="5"/>
  </r>
  <r>
    <x v="586"/>
    <s v="Female"/>
    <x v="0"/>
    <s v="Yes"/>
    <s v="Yes"/>
    <n v="26"/>
    <s v="One year"/>
    <s v="No"/>
    <s v="Electronic check"/>
    <n v="31.86"/>
    <n v="834"/>
    <x v="0"/>
    <x v="4"/>
  </r>
  <r>
    <x v="587"/>
    <s v="Male"/>
    <x v="0"/>
    <s v="No"/>
    <s v="No"/>
    <n v="52"/>
    <s v="Month-to-month"/>
    <s v="No"/>
    <s v="Bank transfer"/>
    <n v="49.39"/>
    <n v="2604.37"/>
    <x v="0"/>
    <x v="0"/>
  </r>
  <r>
    <x v="588"/>
    <s v="Female"/>
    <x v="0"/>
    <s v="Yes"/>
    <s v="Yes"/>
    <n v="72"/>
    <s v="One year"/>
    <s v="Fiber optic"/>
    <s v="Credit card"/>
    <n v="66.8"/>
    <n v="4847.26"/>
    <x v="0"/>
    <x v="1"/>
  </r>
  <r>
    <x v="589"/>
    <s v="Male"/>
    <x v="0"/>
    <s v="No"/>
    <s v="No"/>
    <n v="34"/>
    <s v="One year"/>
    <s v="Fiber optic"/>
    <s v="Bank transfer"/>
    <n v="82.21"/>
    <n v="2766.05"/>
    <x v="0"/>
    <x v="4"/>
  </r>
  <r>
    <x v="590"/>
    <s v="Male"/>
    <x v="0"/>
    <s v="Yes"/>
    <s v="No"/>
    <n v="50"/>
    <s v="One year"/>
    <s v="DSL"/>
    <s v="Credit card"/>
    <n v="95.2"/>
    <n v="4716.6000000000004"/>
    <x v="0"/>
    <x v="0"/>
  </r>
  <r>
    <x v="591"/>
    <s v="Female"/>
    <x v="0"/>
    <s v="Yes"/>
    <s v="No"/>
    <n v="36"/>
    <s v="Month-to-month"/>
    <s v="Fiber optic"/>
    <s v="Credit card"/>
    <n v="81.78"/>
    <n v="3067.01"/>
    <x v="0"/>
    <x v="4"/>
  </r>
  <r>
    <x v="592"/>
    <s v="Male"/>
    <x v="0"/>
    <s v="Yes"/>
    <s v="No"/>
    <n v="56"/>
    <s v="One year"/>
    <s v="Fiber optic"/>
    <s v="Mailed check"/>
    <n v="84.06"/>
    <n v="4508.2299999999996"/>
    <x v="0"/>
    <x v="0"/>
  </r>
  <r>
    <x v="593"/>
    <s v="Female"/>
    <x v="0"/>
    <s v="Yes"/>
    <s v="No"/>
    <n v="7"/>
    <s v="One year"/>
    <s v="DSL"/>
    <s v="Bank transfer"/>
    <n v="43.57"/>
    <n v="245.69"/>
    <x v="0"/>
    <x v="2"/>
  </r>
  <r>
    <x v="594"/>
    <s v="Female"/>
    <x v="0"/>
    <s v="Yes"/>
    <s v="Yes"/>
    <n v="19"/>
    <s v="Two year"/>
    <s v="Fiber optic"/>
    <s v="Credit card"/>
    <n v="76.650000000000006"/>
    <n v="1440.05"/>
    <x v="0"/>
    <x v="3"/>
  </r>
  <r>
    <x v="595"/>
    <s v="Female"/>
    <x v="0"/>
    <s v="Yes"/>
    <s v="No"/>
    <n v="52"/>
    <s v="Month-to-month"/>
    <s v="DSL"/>
    <s v="Mailed check"/>
    <n v="59.46"/>
    <n v="3136.72"/>
    <x v="0"/>
    <x v="0"/>
  </r>
  <r>
    <x v="596"/>
    <s v="Male"/>
    <x v="0"/>
    <s v="No"/>
    <s v="Yes"/>
    <n v="11"/>
    <s v="One year"/>
    <s v="Fiber optic"/>
    <s v="Electronic check"/>
    <n v="97.04"/>
    <n v="1158.28"/>
    <x v="1"/>
    <x v="2"/>
  </r>
  <r>
    <x v="597"/>
    <s v="Male"/>
    <x v="0"/>
    <s v="Yes"/>
    <s v="No"/>
    <n v="48"/>
    <s v="One year"/>
    <s v="DSL"/>
    <s v="Credit card"/>
    <n v="50.89"/>
    <n v="2591.2600000000002"/>
    <x v="0"/>
    <x v="5"/>
  </r>
  <r>
    <x v="598"/>
    <s v="Female"/>
    <x v="0"/>
    <s v="No"/>
    <s v="Yes"/>
    <n v="16"/>
    <s v="Month-to-month"/>
    <s v="Fiber optic"/>
    <s v="Bank transfer"/>
    <n v="58.48"/>
    <n v="928.34"/>
    <x v="0"/>
    <x v="3"/>
  </r>
  <r>
    <x v="599"/>
    <s v="Female"/>
    <x v="0"/>
    <s v="Yes"/>
    <s v="Yes"/>
    <n v="63"/>
    <s v="Month-to-month"/>
    <s v="DSL"/>
    <s v="Electronic check"/>
    <n v="77.94"/>
    <n v="4908.24"/>
    <x v="1"/>
    <x v="1"/>
  </r>
  <r>
    <x v="600"/>
    <s v="Male"/>
    <x v="1"/>
    <s v="Yes"/>
    <s v="No"/>
    <n v="41"/>
    <s v="Month-to-month"/>
    <s v="DSL"/>
    <s v="Mailed check"/>
    <n v="119.5"/>
    <n v="4928.51"/>
    <x v="0"/>
    <x v="5"/>
  </r>
  <r>
    <x v="601"/>
    <s v="Female"/>
    <x v="0"/>
    <s v="No"/>
    <s v="Yes"/>
    <n v="28"/>
    <s v="Month-to-month"/>
    <s v="Fiber optic"/>
    <s v="Credit card"/>
    <n v="75.599999999999994"/>
    <n v="2074.31"/>
    <x v="0"/>
    <x v="4"/>
  </r>
  <r>
    <x v="602"/>
    <s v="Female"/>
    <x v="0"/>
    <s v="Yes"/>
    <s v="No"/>
    <n v="18"/>
    <s v="Month-to-month"/>
    <s v="No"/>
    <s v="Mailed check"/>
    <n v="59.21"/>
    <n v="971.04"/>
    <x v="0"/>
    <x v="3"/>
  </r>
  <r>
    <x v="603"/>
    <s v="Female"/>
    <x v="0"/>
    <s v="No"/>
    <s v="No"/>
    <n v="10"/>
    <s v="One year"/>
    <s v="Fiber optic"/>
    <s v="Bank transfer"/>
    <n v="103.7"/>
    <n v="1029.3"/>
    <x v="0"/>
    <x v="2"/>
  </r>
  <r>
    <x v="604"/>
    <s v="Male"/>
    <x v="0"/>
    <s v="No"/>
    <s v="Yes"/>
    <n v="49"/>
    <s v="One year"/>
    <s v="DSL"/>
    <s v="Bank transfer"/>
    <n v="82.75"/>
    <n v="4114.38"/>
    <x v="0"/>
    <x v="0"/>
  </r>
  <r>
    <x v="605"/>
    <s v="Male"/>
    <x v="0"/>
    <s v="Yes"/>
    <s v="No"/>
    <n v="70"/>
    <s v="One year"/>
    <s v="DSL"/>
    <s v="Bank transfer"/>
    <n v="82.91"/>
    <n v="5784.27"/>
    <x v="0"/>
    <x v="1"/>
  </r>
  <r>
    <x v="606"/>
    <s v="Male"/>
    <x v="0"/>
    <s v="No"/>
    <s v="Yes"/>
    <n v="57"/>
    <s v="Two year"/>
    <s v="No"/>
    <s v="Mailed check"/>
    <n v="52.62"/>
    <n v="3032.41"/>
    <x v="0"/>
    <x v="0"/>
  </r>
  <r>
    <x v="607"/>
    <s v="Female"/>
    <x v="0"/>
    <s v="No"/>
    <s v="Yes"/>
    <n v="33"/>
    <s v="Month-to-month"/>
    <s v="Fiber optic"/>
    <s v="Bank transfer"/>
    <n v="78.11"/>
    <n v="2428.12"/>
    <x v="0"/>
    <x v="4"/>
  </r>
  <r>
    <x v="608"/>
    <s v="Female"/>
    <x v="0"/>
    <s v="Yes"/>
    <s v="No"/>
    <n v="19"/>
    <s v="Month-to-month"/>
    <s v="DSL"/>
    <s v="Bank transfer"/>
    <n v="51.12"/>
    <n v="972.75"/>
    <x v="0"/>
    <x v="3"/>
  </r>
  <r>
    <x v="609"/>
    <s v="Female"/>
    <x v="1"/>
    <s v="No"/>
    <s v="Yes"/>
    <n v="49"/>
    <s v="One year"/>
    <s v="No"/>
    <s v="Bank transfer"/>
    <n v="67.16"/>
    <n v="3258.56"/>
    <x v="0"/>
    <x v="0"/>
  </r>
  <r>
    <x v="610"/>
    <s v="Male"/>
    <x v="0"/>
    <s v="Yes"/>
    <s v="No"/>
    <n v="9"/>
    <s v="Month-to-month"/>
    <s v="Fiber optic"/>
    <s v="Mailed check"/>
    <n v="91.59"/>
    <n v="722.3"/>
    <x v="1"/>
    <x v="2"/>
  </r>
  <r>
    <x v="611"/>
    <s v="Female"/>
    <x v="0"/>
    <s v="Yes"/>
    <s v="Yes"/>
    <n v="31"/>
    <s v="Month-to-month"/>
    <s v="No"/>
    <s v="Mailed check"/>
    <n v="72.930000000000007"/>
    <n v="2313.41"/>
    <x v="0"/>
    <x v="4"/>
  </r>
  <r>
    <x v="612"/>
    <s v="Female"/>
    <x v="0"/>
    <s v="Yes"/>
    <s v="Yes"/>
    <n v="51"/>
    <s v="Month-to-month"/>
    <s v="No"/>
    <s v="Credit card"/>
    <n v="42.8"/>
    <n v="2330.4499999999998"/>
    <x v="0"/>
    <x v="0"/>
  </r>
  <r>
    <x v="613"/>
    <s v="Female"/>
    <x v="0"/>
    <s v="Yes"/>
    <s v="No"/>
    <n v="14"/>
    <s v="Month-to-month"/>
    <s v="No"/>
    <s v="Electronic check"/>
    <n v="75.75"/>
    <n v="1139.7"/>
    <x v="0"/>
    <x v="3"/>
  </r>
  <r>
    <x v="614"/>
    <s v="Female"/>
    <x v="0"/>
    <s v="No"/>
    <s v="No"/>
    <n v="2"/>
    <s v="Two year"/>
    <s v="DSL"/>
    <s v="Electronic check"/>
    <n v="98.33"/>
    <n v="280.95999999999998"/>
    <x v="0"/>
    <x v="2"/>
  </r>
  <r>
    <x v="615"/>
    <s v="Male"/>
    <x v="0"/>
    <s v="Yes"/>
    <s v="Yes"/>
    <n v="36"/>
    <s v="Month-to-month"/>
    <s v="DSL"/>
    <s v="Mailed check"/>
    <n v="39.65"/>
    <n v="1484.4"/>
    <x v="1"/>
    <x v="4"/>
  </r>
  <r>
    <x v="616"/>
    <s v="Male"/>
    <x v="1"/>
    <s v="Yes"/>
    <s v="No"/>
    <n v="39"/>
    <s v="Month-to-month"/>
    <s v="Fiber optic"/>
    <s v="Credit card"/>
    <n v="72.58"/>
    <n v="2882.34"/>
    <x v="0"/>
    <x v="5"/>
  </r>
  <r>
    <x v="617"/>
    <s v="Female"/>
    <x v="0"/>
    <s v="No"/>
    <s v="Yes"/>
    <n v="71"/>
    <s v="Month-to-month"/>
    <s v="Fiber optic"/>
    <s v="Electronic check"/>
    <n v="109.38"/>
    <n v="7622.03"/>
    <x v="0"/>
    <x v="1"/>
  </r>
  <r>
    <x v="618"/>
    <s v="Male"/>
    <x v="0"/>
    <s v="Yes"/>
    <s v="No"/>
    <n v="39"/>
    <s v="One year"/>
    <s v="Fiber optic"/>
    <s v="Electronic check"/>
    <n v="63.76"/>
    <n v="2476.4"/>
    <x v="0"/>
    <x v="5"/>
  </r>
  <r>
    <x v="619"/>
    <s v="Male"/>
    <x v="1"/>
    <s v="Yes"/>
    <s v="No"/>
    <n v="55"/>
    <s v="Month-to-month"/>
    <s v="Fiber optic"/>
    <s v="Electronic check"/>
    <n v="93.22"/>
    <n v="5167.79"/>
    <x v="0"/>
    <x v="0"/>
  </r>
  <r>
    <x v="620"/>
    <s v="Female"/>
    <x v="0"/>
    <s v="No"/>
    <s v="No"/>
    <n v="22"/>
    <s v="One year"/>
    <s v="Fiber optic"/>
    <s v="Bank transfer"/>
    <n v="80.209999999999994"/>
    <n v="1807.13"/>
    <x v="1"/>
    <x v="3"/>
  </r>
  <r>
    <x v="621"/>
    <s v="Female"/>
    <x v="0"/>
    <s v="No"/>
    <s v="No"/>
    <n v="10"/>
    <s v="Month-to-month"/>
    <s v="Fiber optic"/>
    <s v="Electronic check"/>
    <n v="88.27"/>
    <n v="984.44"/>
    <x v="1"/>
    <x v="2"/>
  </r>
  <r>
    <x v="622"/>
    <s v="Male"/>
    <x v="0"/>
    <s v="No"/>
    <s v="No"/>
    <n v="63"/>
    <s v="Month-to-month"/>
    <s v="DSL"/>
    <s v="Mailed check"/>
    <n v="70.98"/>
    <n v="4389.1499999999996"/>
    <x v="0"/>
    <x v="1"/>
  </r>
  <r>
    <x v="623"/>
    <s v="Female"/>
    <x v="0"/>
    <s v="No"/>
    <s v="No"/>
    <n v="7"/>
    <s v="Month-to-month"/>
    <s v="DSL"/>
    <s v="Mailed check"/>
    <n v="88.65"/>
    <n v="669.13"/>
    <x v="0"/>
    <x v="2"/>
  </r>
  <r>
    <x v="624"/>
    <s v="Male"/>
    <x v="0"/>
    <s v="No"/>
    <s v="No"/>
    <n v="55"/>
    <s v="Month-to-month"/>
    <s v="Fiber optic"/>
    <s v="Credit card"/>
    <n v="54.46"/>
    <n v="2910.1"/>
    <x v="0"/>
    <x v="0"/>
  </r>
  <r>
    <x v="625"/>
    <s v="Female"/>
    <x v="0"/>
    <s v="No"/>
    <s v="No"/>
    <n v="59"/>
    <s v="Month-to-month"/>
    <s v="Fiber optic"/>
    <s v="Mailed check"/>
    <n v="57.17"/>
    <n v="3356.09"/>
    <x v="0"/>
    <x v="0"/>
  </r>
  <r>
    <x v="626"/>
    <s v="Male"/>
    <x v="1"/>
    <s v="No"/>
    <s v="Yes"/>
    <n v="9"/>
    <s v="Month-to-month"/>
    <s v="DSL"/>
    <s v="Electronic check"/>
    <n v="106.61"/>
    <n v="954.53"/>
    <x v="1"/>
    <x v="2"/>
  </r>
  <r>
    <x v="627"/>
    <s v="Female"/>
    <x v="0"/>
    <s v="Yes"/>
    <s v="No"/>
    <n v="38"/>
    <s v="Two year"/>
    <s v="Fiber optic"/>
    <s v="Mailed check"/>
    <n v="132.51"/>
    <n v="5104.3900000000003"/>
    <x v="1"/>
    <x v="5"/>
  </r>
  <r>
    <x v="628"/>
    <s v="Male"/>
    <x v="0"/>
    <s v="No"/>
    <s v="No"/>
    <n v="27"/>
    <s v="Month-to-month"/>
    <s v="Fiber optic"/>
    <s v="Credit card"/>
    <n v="79.86"/>
    <n v="2215.8200000000002"/>
    <x v="0"/>
    <x v="4"/>
  </r>
  <r>
    <x v="629"/>
    <s v="Male"/>
    <x v="0"/>
    <s v="No"/>
    <s v="No"/>
    <n v="48"/>
    <s v="One year"/>
    <s v="Fiber optic"/>
    <s v="Bank transfer"/>
    <n v="122.88"/>
    <n v="5907.87"/>
    <x v="0"/>
    <x v="5"/>
  </r>
  <r>
    <x v="630"/>
    <s v="Male"/>
    <x v="0"/>
    <s v="No"/>
    <s v="No"/>
    <n v="35"/>
    <s v="Month-to-month"/>
    <s v="DSL"/>
    <s v="Credit card"/>
    <n v="50.71"/>
    <n v="1602.69"/>
    <x v="0"/>
    <x v="4"/>
  </r>
  <r>
    <x v="631"/>
    <s v="Female"/>
    <x v="0"/>
    <s v="Yes"/>
    <s v="No"/>
    <n v="12"/>
    <s v="Month-to-month"/>
    <s v="Fiber optic"/>
    <s v="Credit card"/>
    <n v="66.709999999999994"/>
    <n v="836.11"/>
    <x v="1"/>
    <x v="2"/>
  </r>
  <r>
    <x v="632"/>
    <s v="Male"/>
    <x v="1"/>
    <s v="Yes"/>
    <s v="Yes"/>
    <n v="35"/>
    <s v="Month-to-month"/>
    <s v="DSL"/>
    <s v="Electronic check"/>
    <n v="106.44"/>
    <n v="3703.99"/>
    <x v="1"/>
    <x v="4"/>
  </r>
  <r>
    <x v="633"/>
    <s v="Male"/>
    <x v="0"/>
    <s v="No"/>
    <s v="Yes"/>
    <n v="25"/>
    <s v="Two year"/>
    <s v="No"/>
    <s v="Bank transfer"/>
    <n v="75.099999999999994"/>
    <n v="1988.84"/>
    <x v="0"/>
    <x v="4"/>
  </r>
  <r>
    <x v="634"/>
    <s v="Female"/>
    <x v="0"/>
    <s v="No"/>
    <s v="No"/>
    <n v="3"/>
    <s v="Month-to-month"/>
    <s v="DSL"/>
    <s v="Electronic check"/>
    <n v="110.16"/>
    <n v="422.76"/>
    <x v="1"/>
    <x v="2"/>
  </r>
  <r>
    <x v="635"/>
    <s v="Female"/>
    <x v="1"/>
    <s v="No"/>
    <s v="No"/>
    <n v="63"/>
    <s v="Month-to-month"/>
    <s v="Fiber optic"/>
    <s v="Mailed check"/>
    <n v="91.71"/>
    <n v="5702.69"/>
    <x v="0"/>
    <x v="1"/>
  </r>
  <r>
    <x v="636"/>
    <s v="Male"/>
    <x v="0"/>
    <s v="Yes"/>
    <s v="No"/>
    <n v="37"/>
    <s v="Month-to-month"/>
    <s v="DSL"/>
    <s v="Electronic check"/>
    <n v="44.69"/>
    <n v="1700.1"/>
    <x v="0"/>
    <x v="5"/>
  </r>
  <r>
    <x v="637"/>
    <s v="Male"/>
    <x v="0"/>
    <s v="Yes"/>
    <s v="No"/>
    <n v="21"/>
    <s v="Month-to-month"/>
    <s v="Fiber optic"/>
    <s v="Electronic check"/>
    <n v="85.59"/>
    <n v="1845.54"/>
    <x v="1"/>
    <x v="3"/>
  </r>
  <r>
    <x v="638"/>
    <s v="Female"/>
    <x v="0"/>
    <s v="No"/>
    <s v="No"/>
    <n v="1"/>
    <s v="Month-to-month"/>
    <s v="Fiber optic"/>
    <s v="Credit card"/>
    <n v="110.05"/>
    <n v="152.38"/>
    <x v="1"/>
    <x v="2"/>
  </r>
  <r>
    <x v="639"/>
    <s v="Female"/>
    <x v="0"/>
    <s v="Yes"/>
    <s v="No"/>
    <n v="30"/>
    <s v="One year"/>
    <s v="DSL"/>
    <s v="Electronic check"/>
    <n v="66.680000000000007"/>
    <n v="2032.37"/>
    <x v="0"/>
    <x v="4"/>
  </r>
  <r>
    <x v="640"/>
    <s v="Female"/>
    <x v="0"/>
    <s v="No"/>
    <s v="Yes"/>
    <n v="10"/>
    <s v="Month-to-month"/>
    <s v="Fiber optic"/>
    <s v="Credit card"/>
    <n v="72.84"/>
    <n v="778.81"/>
    <x v="1"/>
    <x v="2"/>
  </r>
  <r>
    <x v="641"/>
    <s v="Female"/>
    <x v="0"/>
    <s v="Yes"/>
    <s v="Yes"/>
    <n v="45"/>
    <s v="Month-to-month"/>
    <s v="DSL"/>
    <s v="Electronic check"/>
    <n v="82.1"/>
    <n v="3814.62"/>
    <x v="1"/>
    <x v="5"/>
  </r>
  <r>
    <x v="642"/>
    <s v="Female"/>
    <x v="0"/>
    <s v="Yes"/>
    <s v="No"/>
    <n v="61"/>
    <s v="One year"/>
    <s v="DSL"/>
    <s v="Electronic check"/>
    <n v="56.01"/>
    <n v="3372.5"/>
    <x v="0"/>
    <x v="1"/>
  </r>
  <r>
    <x v="643"/>
    <s v="Male"/>
    <x v="0"/>
    <s v="No"/>
    <s v="No"/>
    <n v="68"/>
    <s v="Month-to-month"/>
    <s v="Fiber optic"/>
    <s v="Credit card"/>
    <n v="87.39"/>
    <n v="5870.06"/>
    <x v="1"/>
    <x v="1"/>
  </r>
  <r>
    <x v="644"/>
    <s v="Female"/>
    <x v="0"/>
    <s v="No"/>
    <s v="Yes"/>
    <n v="63"/>
    <s v="Month-to-month"/>
    <s v="DSL"/>
    <s v="Bank transfer"/>
    <n v="71.59"/>
    <n v="4572.79"/>
    <x v="0"/>
    <x v="1"/>
  </r>
  <r>
    <x v="645"/>
    <s v="Male"/>
    <x v="0"/>
    <s v="No"/>
    <s v="No"/>
    <n v="9"/>
    <s v="Month-to-month"/>
    <s v="No"/>
    <s v="Bank transfer"/>
    <n v="42.74"/>
    <n v="233.99"/>
    <x v="0"/>
    <x v="2"/>
  </r>
  <r>
    <x v="646"/>
    <s v="Male"/>
    <x v="0"/>
    <s v="No"/>
    <s v="No"/>
    <n v="39"/>
    <s v="One year"/>
    <s v="Fiber optic"/>
    <s v="Electronic check"/>
    <n v="104.52"/>
    <n v="4128.6000000000004"/>
    <x v="0"/>
    <x v="5"/>
  </r>
  <r>
    <x v="647"/>
    <s v="Male"/>
    <x v="0"/>
    <s v="Yes"/>
    <s v="No"/>
    <n v="23"/>
    <s v="Month-to-month"/>
    <s v="Fiber optic"/>
    <s v="Mailed check"/>
    <n v="96.15"/>
    <n v="2249.61"/>
    <x v="0"/>
    <x v="3"/>
  </r>
  <r>
    <x v="648"/>
    <s v="Female"/>
    <x v="0"/>
    <s v="Yes"/>
    <s v="No"/>
    <n v="43"/>
    <s v="Month-to-month"/>
    <s v="DSL"/>
    <s v="Bank transfer"/>
    <n v="61.16"/>
    <n v="2442.2399999999998"/>
    <x v="0"/>
    <x v="5"/>
  </r>
  <r>
    <x v="649"/>
    <s v="Male"/>
    <x v="0"/>
    <s v="Yes"/>
    <s v="No"/>
    <n v="59"/>
    <s v="Month-to-month"/>
    <s v="Fiber optic"/>
    <s v="Bank transfer"/>
    <n v="79.63"/>
    <n v="4647.26"/>
    <x v="0"/>
    <x v="0"/>
  </r>
  <r>
    <x v="650"/>
    <s v="Male"/>
    <x v="0"/>
    <s v="No"/>
    <s v="Yes"/>
    <n v="61"/>
    <s v="One year"/>
    <s v="Fiber optic"/>
    <s v="Mailed check"/>
    <n v="73.22"/>
    <n v="4592.5"/>
    <x v="1"/>
    <x v="1"/>
  </r>
  <r>
    <x v="651"/>
    <s v="Female"/>
    <x v="0"/>
    <s v="Yes"/>
    <s v="No"/>
    <n v="16"/>
    <s v="Month-to-month"/>
    <s v="DSL"/>
    <s v="Credit card"/>
    <n v="54.03"/>
    <n v="747.91"/>
    <x v="0"/>
    <x v="3"/>
  </r>
  <r>
    <x v="652"/>
    <s v="Male"/>
    <x v="0"/>
    <s v="No"/>
    <s v="No"/>
    <n v="64"/>
    <s v="One year"/>
    <s v="Fiber optic"/>
    <s v="Bank transfer"/>
    <n v="37.54"/>
    <n v="2419.5700000000002"/>
    <x v="0"/>
    <x v="1"/>
  </r>
  <r>
    <x v="653"/>
    <s v="Male"/>
    <x v="0"/>
    <s v="Yes"/>
    <s v="Yes"/>
    <n v="56"/>
    <s v="Two year"/>
    <s v="DSL"/>
    <s v="Credit card"/>
    <n v="57.9"/>
    <n v="3162.01"/>
    <x v="0"/>
    <x v="0"/>
  </r>
  <r>
    <x v="654"/>
    <s v="Female"/>
    <x v="0"/>
    <s v="No"/>
    <s v="No"/>
    <n v="54"/>
    <s v="One year"/>
    <s v="Fiber optic"/>
    <s v="Bank transfer"/>
    <n v="64.400000000000006"/>
    <n v="3420.88"/>
    <x v="0"/>
    <x v="0"/>
  </r>
  <r>
    <x v="655"/>
    <s v="Male"/>
    <x v="0"/>
    <s v="No"/>
    <s v="No"/>
    <n v="52"/>
    <s v="Month-to-month"/>
    <s v="DSL"/>
    <s v="Bank transfer"/>
    <n v="72.87"/>
    <n v="3942.55"/>
    <x v="0"/>
    <x v="0"/>
  </r>
  <r>
    <x v="656"/>
    <s v="Male"/>
    <x v="1"/>
    <s v="Yes"/>
    <s v="No"/>
    <n v="55"/>
    <s v="Month-to-month"/>
    <s v="No"/>
    <s v="Electronic check"/>
    <n v="66.02"/>
    <n v="3640.98"/>
    <x v="0"/>
    <x v="0"/>
  </r>
  <r>
    <x v="657"/>
    <s v="Male"/>
    <x v="0"/>
    <s v="No"/>
    <s v="No"/>
    <n v="8"/>
    <s v="Month-to-month"/>
    <s v="Fiber optic"/>
    <s v="Mailed check"/>
    <n v="59.95"/>
    <n v="520.96"/>
    <x v="1"/>
    <x v="2"/>
  </r>
  <r>
    <x v="658"/>
    <s v="Female"/>
    <x v="0"/>
    <s v="No"/>
    <s v="Yes"/>
    <n v="21"/>
    <s v="Month-to-month"/>
    <s v="DSL"/>
    <s v="Credit card"/>
    <n v="79.34"/>
    <n v="1657.14"/>
    <x v="0"/>
    <x v="3"/>
  </r>
  <r>
    <x v="659"/>
    <s v="Female"/>
    <x v="1"/>
    <s v="Yes"/>
    <s v="No"/>
    <n v="12"/>
    <s v="Month-to-month"/>
    <s v="DSL"/>
    <s v="Electronic check"/>
    <n v="46.09"/>
    <n v="431.87"/>
    <x v="0"/>
    <x v="2"/>
  </r>
  <r>
    <x v="660"/>
    <s v="Female"/>
    <x v="0"/>
    <s v="No"/>
    <s v="No"/>
    <n v="47"/>
    <s v="One year"/>
    <s v="Fiber optic"/>
    <s v="Electronic check"/>
    <n v="76.87"/>
    <n v="3518.1"/>
    <x v="0"/>
    <x v="5"/>
  </r>
  <r>
    <x v="661"/>
    <s v="Male"/>
    <x v="1"/>
    <s v="No"/>
    <s v="No"/>
    <n v="17"/>
    <s v="Month-to-month"/>
    <s v="No"/>
    <s v="Electronic check"/>
    <n v="39.94"/>
    <n v="773.25"/>
    <x v="1"/>
    <x v="3"/>
  </r>
  <r>
    <x v="662"/>
    <s v="Male"/>
    <x v="0"/>
    <s v="No"/>
    <s v="Yes"/>
    <n v="39"/>
    <s v="Month-to-month"/>
    <s v="DSL"/>
    <s v="Electronic check"/>
    <n v="88.65"/>
    <n v="3469.58"/>
    <x v="0"/>
    <x v="5"/>
  </r>
  <r>
    <x v="663"/>
    <s v="Female"/>
    <x v="0"/>
    <s v="Yes"/>
    <s v="No"/>
    <n v="16"/>
    <s v="One year"/>
    <s v="DSL"/>
    <s v="Credit card"/>
    <n v="72.92"/>
    <n v="1105.0999999999999"/>
    <x v="0"/>
    <x v="3"/>
  </r>
  <r>
    <x v="664"/>
    <s v="Male"/>
    <x v="0"/>
    <s v="Yes"/>
    <s v="No"/>
    <n v="14"/>
    <s v="One year"/>
    <s v="Fiber optic"/>
    <s v="Credit card"/>
    <n v="77.25"/>
    <n v="1079.74"/>
    <x v="0"/>
    <x v="3"/>
  </r>
  <r>
    <x v="665"/>
    <s v="Male"/>
    <x v="0"/>
    <s v="No"/>
    <s v="Yes"/>
    <n v="14"/>
    <s v="Month-to-month"/>
    <s v="Fiber optic"/>
    <s v="Mailed check"/>
    <n v="64.37"/>
    <n v="954.11"/>
    <x v="0"/>
    <x v="3"/>
  </r>
  <r>
    <x v="666"/>
    <s v="Female"/>
    <x v="0"/>
    <s v="Yes"/>
    <s v="Yes"/>
    <n v="62"/>
    <s v="Two year"/>
    <s v="Fiber optic"/>
    <s v="Electronic check"/>
    <n v="71.78"/>
    <n v="4486.72"/>
    <x v="0"/>
    <x v="1"/>
  </r>
  <r>
    <x v="667"/>
    <s v="Female"/>
    <x v="0"/>
    <s v="No"/>
    <s v="No"/>
    <n v="38"/>
    <s v="Month-to-month"/>
    <s v="Fiber optic"/>
    <s v="Bank transfer"/>
    <n v="125.73"/>
    <n v="4716.16"/>
    <x v="1"/>
    <x v="5"/>
  </r>
  <r>
    <x v="668"/>
    <s v="Male"/>
    <x v="1"/>
    <s v="No"/>
    <s v="No"/>
    <n v="12"/>
    <s v="One year"/>
    <s v="DSL"/>
    <s v="Bank transfer"/>
    <n v="57.47"/>
    <n v="563.62"/>
    <x v="0"/>
    <x v="2"/>
  </r>
  <r>
    <x v="669"/>
    <s v="Male"/>
    <x v="0"/>
    <s v="No"/>
    <s v="No"/>
    <n v="31"/>
    <s v="One year"/>
    <s v="No"/>
    <s v="Credit card"/>
    <n v="66.989999999999995"/>
    <n v="2044.13"/>
    <x v="0"/>
    <x v="4"/>
  </r>
  <r>
    <x v="670"/>
    <s v="Male"/>
    <x v="0"/>
    <s v="No"/>
    <s v="No"/>
    <n v="8"/>
    <s v="One year"/>
    <s v="Fiber optic"/>
    <s v="Mailed check"/>
    <n v="77.180000000000007"/>
    <n v="706.16"/>
    <x v="1"/>
    <x v="2"/>
  </r>
  <r>
    <x v="671"/>
    <s v="Female"/>
    <x v="0"/>
    <s v="No"/>
    <s v="No"/>
    <n v="39"/>
    <s v="One year"/>
    <s v="DSL"/>
    <s v="Electronic check"/>
    <n v="81.27"/>
    <n v="3237.88"/>
    <x v="0"/>
    <x v="5"/>
  </r>
  <r>
    <x v="672"/>
    <s v="Female"/>
    <x v="0"/>
    <s v="Yes"/>
    <s v="No"/>
    <n v="19"/>
    <s v="Month-to-month"/>
    <s v="Fiber optic"/>
    <s v="Mailed check"/>
    <n v="100.92"/>
    <n v="1950.31"/>
    <x v="1"/>
    <x v="3"/>
  </r>
  <r>
    <x v="673"/>
    <s v="Female"/>
    <x v="0"/>
    <s v="No"/>
    <s v="Yes"/>
    <n v="72"/>
    <s v="Month-to-month"/>
    <s v="Fiber optic"/>
    <s v="Credit card"/>
    <n v="71.150000000000006"/>
    <n v="5109.13"/>
    <x v="0"/>
    <x v="1"/>
  </r>
  <r>
    <x v="674"/>
    <s v="Female"/>
    <x v="0"/>
    <s v="Yes"/>
    <s v="No"/>
    <n v="62"/>
    <s v="One year"/>
    <s v="DSL"/>
    <s v="Bank transfer"/>
    <n v="87.74"/>
    <n v="5398.54"/>
    <x v="0"/>
    <x v="1"/>
  </r>
  <r>
    <x v="675"/>
    <s v="Male"/>
    <x v="0"/>
    <s v="Yes"/>
    <s v="Yes"/>
    <n v="43"/>
    <s v="Month-to-month"/>
    <s v="Fiber optic"/>
    <s v="Bank transfer"/>
    <n v="140"/>
    <n v="6007.81"/>
    <x v="0"/>
    <x v="5"/>
  </r>
  <r>
    <x v="676"/>
    <s v="Female"/>
    <x v="0"/>
    <s v="No"/>
    <s v="No"/>
    <n v="37"/>
    <s v="Two year"/>
    <s v="DSL"/>
    <s v="Electronic check"/>
    <n v="84.19"/>
    <n v="3177.57"/>
    <x v="0"/>
    <x v="5"/>
  </r>
  <r>
    <x v="677"/>
    <s v="Female"/>
    <x v="1"/>
    <s v="No"/>
    <s v="Yes"/>
    <n v="59"/>
    <s v="Month-to-month"/>
    <s v="Fiber optic"/>
    <s v="Bank transfer"/>
    <n v="120.34"/>
    <n v="7180.88"/>
    <x v="0"/>
    <x v="0"/>
  </r>
  <r>
    <x v="678"/>
    <s v="Female"/>
    <x v="0"/>
    <s v="Yes"/>
    <s v="Yes"/>
    <n v="70"/>
    <s v="Month-to-month"/>
    <s v="No"/>
    <s v="Bank transfer"/>
    <n v="67.03"/>
    <n v="4671.16"/>
    <x v="0"/>
    <x v="1"/>
  </r>
  <r>
    <x v="679"/>
    <s v="Female"/>
    <x v="0"/>
    <s v="Yes"/>
    <s v="No"/>
    <n v="47"/>
    <s v="Month-to-month"/>
    <s v="DSL"/>
    <s v="Electronic check"/>
    <n v="46.7"/>
    <n v="2397.8000000000002"/>
    <x v="1"/>
    <x v="5"/>
  </r>
  <r>
    <x v="680"/>
    <s v="Female"/>
    <x v="0"/>
    <s v="Yes"/>
    <s v="Yes"/>
    <n v="17"/>
    <s v="Month-to-month"/>
    <s v="Fiber optic"/>
    <s v="Mailed check"/>
    <n v="86.89"/>
    <n v="1484.52"/>
    <x v="0"/>
    <x v="3"/>
  </r>
  <r>
    <x v="681"/>
    <s v="Male"/>
    <x v="0"/>
    <s v="No"/>
    <s v="No"/>
    <n v="15"/>
    <s v="One year"/>
    <s v="Fiber optic"/>
    <s v="Electronic check"/>
    <n v="71.739999999999995"/>
    <n v="1048.3399999999999"/>
    <x v="0"/>
    <x v="3"/>
  </r>
  <r>
    <x v="682"/>
    <s v="Male"/>
    <x v="0"/>
    <s v="Yes"/>
    <s v="Yes"/>
    <n v="54"/>
    <s v="One year"/>
    <s v="No"/>
    <s v="Electronic check"/>
    <n v="40.1"/>
    <n v="2283.4499999999998"/>
    <x v="0"/>
    <x v="0"/>
  </r>
  <r>
    <x v="683"/>
    <s v="Female"/>
    <x v="0"/>
    <s v="No"/>
    <s v="No"/>
    <n v="38"/>
    <s v="One year"/>
    <s v="Fiber optic"/>
    <s v="Electronic check"/>
    <n v="78.19"/>
    <n v="2808.16"/>
    <x v="0"/>
    <x v="5"/>
  </r>
  <r>
    <x v="684"/>
    <s v="Male"/>
    <x v="1"/>
    <s v="No"/>
    <s v="No"/>
    <n v="67"/>
    <s v="Two year"/>
    <s v="Fiber optic"/>
    <s v="Electronic check"/>
    <n v="76.13"/>
    <n v="5139.1099999999997"/>
    <x v="0"/>
    <x v="1"/>
  </r>
  <r>
    <x v="685"/>
    <s v="Female"/>
    <x v="0"/>
    <s v="No"/>
    <s v="Yes"/>
    <n v="58"/>
    <s v="Two year"/>
    <s v="Fiber optic"/>
    <s v="Mailed check"/>
    <n v="53.5"/>
    <n v="3097.18"/>
    <x v="0"/>
    <x v="0"/>
  </r>
  <r>
    <x v="686"/>
    <s v="Female"/>
    <x v="0"/>
    <s v="Yes"/>
    <s v="Yes"/>
    <n v="61"/>
    <s v="Two year"/>
    <s v="No"/>
    <s v="Electronic check"/>
    <n v="122.71"/>
    <n v="7601.16"/>
    <x v="0"/>
    <x v="1"/>
  </r>
  <r>
    <x v="687"/>
    <s v="Male"/>
    <x v="1"/>
    <s v="No"/>
    <s v="No"/>
    <n v="12"/>
    <s v="Month-to-month"/>
    <s v="No"/>
    <s v="Electronic check"/>
    <n v="75.2"/>
    <n v="950.79"/>
    <x v="1"/>
    <x v="2"/>
  </r>
  <r>
    <x v="688"/>
    <s v="Male"/>
    <x v="0"/>
    <s v="No"/>
    <s v="No"/>
    <n v="5"/>
    <s v="One year"/>
    <s v="DSL"/>
    <s v="Credit card"/>
    <n v="76.11"/>
    <n v="391.68"/>
    <x v="0"/>
    <x v="2"/>
  </r>
  <r>
    <x v="689"/>
    <s v="Female"/>
    <x v="0"/>
    <s v="No"/>
    <s v="No"/>
    <n v="59"/>
    <s v="Month-to-month"/>
    <s v="Fiber optic"/>
    <s v="Bank transfer"/>
    <n v="82.25"/>
    <n v="4905.76"/>
    <x v="0"/>
    <x v="0"/>
  </r>
  <r>
    <x v="690"/>
    <s v="Female"/>
    <x v="1"/>
    <s v="No"/>
    <s v="No"/>
    <n v="13"/>
    <s v="Month-to-month"/>
    <s v="Fiber optic"/>
    <s v="Bank transfer"/>
    <n v="110.06"/>
    <n v="1346.33"/>
    <x v="1"/>
    <x v="3"/>
  </r>
  <r>
    <x v="691"/>
    <s v="Female"/>
    <x v="0"/>
    <s v="No"/>
    <s v="No"/>
    <n v="53"/>
    <s v="One year"/>
    <s v="Fiber optic"/>
    <s v="Mailed check"/>
    <n v="131.88999999999999"/>
    <n v="7067.52"/>
    <x v="0"/>
    <x v="0"/>
  </r>
  <r>
    <x v="692"/>
    <s v="Male"/>
    <x v="0"/>
    <s v="Yes"/>
    <s v="Yes"/>
    <n v="3"/>
    <s v="Month-to-month"/>
    <s v="Fiber optic"/>
    <s v="Bank transfer"/>
    <n v="97.13"/>
    <n v="183.82"/>
    <x v="0"/>
    <x v="2"/>
  </r>
  <r>
    <x v="693"/>
    <s v="Female"/>
    <x v="0"/>
    <s v="No"/>
    <s v="No"/>
    <n v="38"/>
    <s v="Month-to-month"/>
    <s v="Fiber optic"/>
    <s v="Electronic check"/>
    <n v="83.03"/>
    <n v="3183.82"/>
    <x v="0"/>
    <x v="5"/>
  </r>
  <r>
    <x v="694"/>
    <s v="Female"/>
    <x v="1"/>
    <s v="No"/>
    <s v="No"/>
    <n v="71"/>
    <s v="Month-to-month"/>
    <s v="No"/>
    <s v="Credit card"/>
    <n v="91.82"/>
    <n v="6522.07"/>
    <x v="0"/>
    <x v="1"/>
  </r>
  <r>
    <x v="695"/>
    <s v="Female"/>
    <x v="0"/>
    <s v="Yes"/>
    <s v="No"/>
    <n v="24"/>
    <s v="Month-to-month"/>
    <s v="DSL"/>
    <s v="Electronic check"/>
    <n v="73.56"/>
    <n v="1624.4"/>
    <x v="0"/>
    <x v="3"/>
  </r>
  <r>
    <x v="696"/>
    <s v="Male"/>
    <x v="0"/>
    <s v="No"/>
    <s v="No"/>
    <n v="31"/>
    <s v="Two year"/>
    <s v="DSL"/>
    <s v="Bank transfer"/>
    <n v="80.88"/>
    <n v="2512.8000000000002"/>
    <x v="0"/>
    <x v="4"/>
  </r>
  <r>
    <x v="697"/>
    <s v="Female"/>
    <x v="0"/>
    <s v="Yes"/>
    <s v="No"/>
    <n v="58"/>
    <s v="Month-to-month"/>
    <s v="Fiber optic"/>
    <s v="Electronic check"/>
    <n v="105.03"/>
    <n v="6114.3"/>
    <x v="1"/>
    <x v="0"/>
  </r>
  <r>
    <x v="698"/>
    <s v="Female"/>
    <x v="0"/>
    <s v="No"/>
    <s v="No"/>
    <n v="62"/>
    <s v="Month-to-month"/>
    <s v="DSL"/>
    <s v="Bank transfer"/>
    <n v="60.34"/>
    <n v="3688.69"/>
    <x v="1"/>
    <x v="1"/>
  </r>
  <r>
    <x v="699"/>
    <s v="Male"/>
    <x v="1"/>
    <s v="Yes"/>
    <s v="No"/>
    <n v="37"/>
    <s v="Month-to-month"/>
    <s v="DSL"/>
    <s v="Mailed check"/>
    <n v="20"/>
    <n v="659.01"/>
    <x v="1"/>
    <x v="5"/>
  </r>
  <r>
    <x v="700"/>
    <s v="Female"/>
    <x v="0"/>
    <s v="Yes"/>
    <s v="No"/>
    <n v="52"/>
    <s v="Month-to-month"/>
    <s v="DSL"/>
    <s v="Mailed check"/>
    <n v="59.12"/>
    <n v="3113.61"/>
    <x v="0"/>
    <x v="0"/>
  </r>
  <r>
    <x v="701"/>
    <s v="Female"/>
    <x v="1"/>
    <s v="No"/>
    <s v="No"/>
    <n v="66"/>
    <s v="Two year"/>
    <s v="Fiber optic"/>
    <s v="Electronic check"/>
    <n v="99.33"/>
    <n v="6584.77"/>
    <x v="0"/>
    <x v="1"/>
  </r>
  <r>
    <x v="702"/>
    <s v="Male"/>
    <x v="1"/>
    <s v="No"/>
    <s v="Yes"/>
    <n v="27"/>
    <s v="Month-to-month"/>
    <s v="No"/>
    <s v="Bank transfer"/>
    <n v="72.56"/>
    <n v="1977.27"/>
    <x v="0"/>
    <x v="4"/>
  </r>
  <r>
    <x v="703"/>
    <s v="Female"/>
    <x v="0"/>
    <s v="No"/>
    <s v="Yes"/>
    <n v="2"/>
    <s v="Month-to-month"/>
    <s v="Fiber optic"/>
    <s v="Credit card"/>
    <n v="113.57"/>
    <n v="227.85"/>
    <x v="0"/>
    <x v="2"/>
  </r>
  <r>
    <x v="704"/>
    <s v="Male"/>
    <x v="0"/>
    <s v="Yes"/>
    <s v="No"/>
    <n v="21"/>
    <s v="One year"/>
    <s v="Fiber optic"/>
    <s v="Credit card"/>
    <n v="70.08"/>
    <n v="1426.35"/>
    <x v="1"/>
    <x v="3"/>
  </r>
  <r>
    <x v="705"/>
    <s v="Male"/>
    <x v="0"/>
    <s v="Yes"/>
    <s v="No"/>
    <n v="37"/>
    <s v="Two year"/>
    <s v="DSL"/>
    <s v="Electronic check"/>
    <n v="109.52"/>
    <n v="4234.01"/>
    <x v="0"/>
    <x v="5"/>
  </r>
  <r>
    <x v="706"/>
    <s v="Female"/>
    <x v="0"/>
    <s v="Yes"/>
    <s v="Yes"/>
    <n v="71"/>
    <s v="One year"/>
    <s v="Fiber optic"/>
    <s v="Mailed check"/>
    <n v="84.63"/>
    <n v="5984.86"/>
    <x v="0"/>
    <x v="1"/>
  </r>
  <r>
    <x v="707"/>
    <s v="Female"/>
    <x v="0"/>
    <s v="No"/>
    <s v="Yes"/>
    <n v="71"/>
    <s v="Two year"/>
    <s v="Fiber optic"/>
    <s v="Credit card"/>
    <n v="95.11"/>
    <n v="6683.6"/>
    <x v="0"/>
    <x v="1"/>
  </r>
  <r>
    <x v="708"/>
    <s v="Female"/>
    <x v="0"/>
    <s v="Yes"/>
    <s v="Yes"/>
    <n v="61"/>
    <s v="Month-to-month"/>
    <s v="Fiber optic"/>
    <s v="Mailed check"/>
    <n v="102.59"/>
    <n v="6262.34"/>
    <x v="0"/>
    <x v="1"/>
  </r>
  <r>
    <x v="709"/>
    <s v="Female"/>
    <x v="0"/>
    <s v="Yes"/>
    <s v="Yes"/>
    <n v="56"/>
    <s v="Month-to-month"/>
    <s v="DSL"/>
    <s v="Bank transfer"/>
    <n v="35.46"/>
    <n v="1971.28"/>
    <x v="0"/>
    <x v="0"/>
  </r>
  <r>
    <x v="710"/>
    <s v="Male"/>
    <x v="0"/>
    <s v="No"/>
    <s v="No"/>
    <n v="5"/>
    <s v="Month-to-month"/>
    <s v="DSL"/>
    <s v="Credit card"/>
    <n v="44.88"/>
    <n v="198.68"/>
    <x v="0"/>
    <x v="2"/>
  </r>
  <r>
    <x v="711"/>
    <s v="Female"/>
    <x v="0"/>
    <s v="Yes"/>
    <s v="No"/>
    <n v="31"/>
    <s v="Two year"/>
    <s v="DSL"/>
    <s v="Credit card"/>
    <n v="44.05"/>
    <n v="1515.49"/>
    <x v="0"/>
    <x v="4"/>
  </r>
  <r>
    <x v="712"/>
    <s v="Male"/>
    <x v="0"/>
    <s v="Yes"/>
    <s v="No"/>
    <n v="9"/>
    <s v="Month-to-month"/>
    <s v="Fiber optic"/>
    <s v="Mailed check"/>
    <n v="106.81"/>
    <n v="870.91"/>
    <x v="0"/>
    <x v="2"/>
  </r>
  <r>
    <x v="713"/>
    <s v="Female"/>
    <x v="0"/>
    <s v="No"/>
    <s v="No"/>
    <n v="2"/>
    <s v="Month-to-month"/>
    <s v="Fiber optic"/>
    <s v="Mailed check"/>
    <n v="72.36"/>
    <n v="147.71"/>
    <x v="1"/>
    <x v="2"/>
  </r>
  <r>
    <x v="714"/>
    <s v="Female"/>
    <x v="0"/>
    <s v="Yes"/>
    <s v="Yes"/>
    <n v="58"/>
    <s v="Month-to-month"/>
    <s v="No"/>
    <s v="Electronic check"/>
    <n v="105.69"/>
    <n v="6045.01"/>
    <x v="0"/>
    <x v="0"/>
  </r>
  <r>
    <x v="715"/>
    <s v="Female"/>
    <x v="0"/>
    <s v="No"/>
    <s v="Yes"/>
    <n v="48"/>
    <s v="Month-to-month"/>
    <s v="Fiber optic"/>
    <s v="Bank transfer"/>
    <n v="80.08"/>
    <n v="3800.56"/>
    <x v="0"/>
    <x v="5"/>
  </r>
  <r>
    <x v="716"/>
    <s v="Male"/>
    <x v="1"/>
    <s v="No"/>
    <s v="No"/>
    <n v="58"/>
    <s v="Month-to-month"/>
    <s v="Fiber optic"/>
    <s v="Electronic check"/>
    <n v="43.22"/>
    <n v="2645.65"/>
    <x v="0"/>
    <x v="0"/>
  </r>
  <r>
    <x v="717"/>
    <s v="Female"/>
    <x v="0"/>
    <s v="No"/>
    <s v="No"/>
    <n v="30"/>
    <s v="Two year"/>
    <s v="No"/>
    <s v="Electronic check"/>
    <n v="38.19"/>
    <n v="1168.22"/>
    <x v="0"/>
    <x v="4"/>
  </r>
  <r>
    <x v="718"/>
    <s v="Female"/>
    <x v="0"/>
    <s v="No"/>
    <s v="No"/>
    <n v="68"/>
    <s v="Month-to-month"/>
    <s v="DSL"/>
    <s v="Mailed check"/>
    <n v="72.930000000000007"/>
    <n v="4980.79"/>
    <x v="0"/>
    <x v="1"/>
  </r>
  <r>
    <x v="719"/>
    <s v="Female"/>
    <x v="0"/>
    <s v="No"/>
    <s v="Yes"/>
    <n v="61"/>
    <s v="One year"/>
    <s v="Fiber optic"/>
    <s v="Electronic check"/>
    <n v="92.88"/>
    <n v="5590.52"/>
    <x v="0"/>
    <x v="1"/>
  </r>
  <r>
    <x v="720"/>
    <s v="Female"/>
    <x v="0"/>
    <s v="Yes"/>
    <s v="No"/>
    <n v="51"/>
    <s v="One year"/>
    <s v="No"/>
    <s v="Bank transfer"/>
    <n v="30.38"/>
    <n v="1515.41"/>
    <x v="0"/>
    <x v="0"/>
  </r>
  <r>
    <x v="721"/>
    <s v="Male"/>
    <x v="1"/>
    <s v="Yes"/>
    <s v="No"/>
    <n v="40"/>
    <s v="Month-to-month"/>
    <s v="DSL"/>
    <s v="Bank transfer"/>
    <n v="84.21"/>
    <n v="3514.25"/>
    <x v="0"/>
    <x v="5"/>
  </r>
  <r>
    <x v="722"/>
    <s v="Female"/>
    <x v="0"/>
    <s v="No"/>
    <s v="No"/>
    <n v="30"/>
    <s v="Month-to-month"/>
    <s v="No"/>
    <s v="Mailed check"/>
    <n v="75.89"/>
    <n v="2316.65"/>
    <x v="0"/>
    <x v="4"/>
  </r>
  <r>
    <x v="723"/>
    <s v="Male"/>
    <x v="0"/>
    <s v="No"/>
    <s v="No"/>
    <n v="21"/>
    <s v="Month-to-month"/>
    <s v="No"/>
    <s v="Mailed check"/>
    <n v="38.979999999999997"/>
    <n v="791.4"/>
    <x v="0"/>
    <x v="3"/>
  </r>
  <r>
    <x v="724"/>
    <s v="Male"/>
    <x v="0"/>
    <s v="Yes"/>
    <s v="No"/>
    <n v="3"/>
    <s v="Month-to-month"/>
    <s v="Fiber optic"/>
    <s v="Credit card"/>
    <n v="129.22999999999999"/>
    <n v="422.94"/>
    <x v="0"/>
    <x v="2"/>
  </r>
  <r>
    <x v="725"/>
    <s v="Male"/>
    <x v="0"/>
    <s v="No"/>
    <s v="No"/>
    <n v="12"/>
    <s v="One year"/>
    <s v="Fiber optic"/>
    <s v="Electronic check"/>
    <n v="66.680000000000007"/>
    <n v="821.57"/>
    <x v="0"/>
    <x v="2"/>
  </r>
  <r>
    <x v="726"/>
    <s v="Male"/>
    <x v="0"/>
    <s v="No"/>
    <s v="Yes"/>
    <n v="44"/>
    <s v="Month-to-month"/>
    <s v="Fiber optic"/>
    <s v="Bank transfer"/>
    <n v="55"/>
    <n v="2352.84"/>
    <x v="0"/>
    <x v="5"/>
  </r>
  <r>
    <x v="727"/>
    <s v="Male"/>
    <x v="0"/>
    <s v="No"/>
    <s v="Yes"/>
    <n v="41"/>
    <s v="Month-to-month"/>
    <s v="Fiber optic"/>
    <s v="Credit card"/>
    <n v="41.77"/>
    <n v="1683.07"/>
    <x v="1"/>
    <x v="5"/>
  </r>
  <r>
    <x v="728"/>
    <s v="Male"/>
    <x v="0"/>
    <s v="Yes"/>
    <s v="Yes"/>
    <n v="48"/>
    <s v="Month-to-month"/>
    <s v="DSL"/>
    <s v="Mailed check"/>
    <n v="100.52"/>
    <n v="5005.32"/>
    <x v="0"/>
    <x v="5"/>
  </r>
  <r>
    <x v="729"/>
    <s v="Female"/>
    <x v="0"/>
    <s v="Yes"/>
    <s v="No"/>
    <n v="19"/>
    <s v="Two year"/>
    <s v="DSL"/>
    <s v="Mailed check"/>
    <n v="70.569999999999993"/>
    <n v="1372.19"/>
    <x v="0"/>
    <x v="3"/>
  </r>
  <r>
    <x v="730"/>
    <s v="Male"/>
    <x v="0"/>
    <s v="No"/>
    <s v="No"/>
    <n v="53"/>
    <s v="Two year"/>
    <s v="DSL"/>
    <s v="Credit card"/>
    <n v="58.02"/>
    <n v="2949.54"/>
    <x v="0"/>
    <x v="0"/>
  </r>
  <r>
    <x v="731"/>
    <s v="Male"/>
    <x v="0"/>
    <s v="No"/>
    <s v="No"/>
    <n v="35"/>
    <s v="Two year"/>
    <s v="Fiber optic"/>
    <s v="Electronic check"/>
    <n v="43.15"/>
    <n v="1551.07"/>
    <x v="0"/>
    <x v="4"/>
  </r>
  <r>
    <x v="732"/>
    <s v="Male"/>
    <x v="0"/>
    <s v="Yes"/>
    <s v="Yes"/>
    <n v="0"/>
    <s v="One year"/>
    <s v="DSL"/>
    <s v="Mailed check"/>
    <n v="60.27"/>
    <n v="104.25"/>
    <x v="0"/>
    <x v="6"/>
  </r>
  <r>
    <x v="733"/>
    <s v="Female"/>
    <x v="1"/>
    <s v="Yes"/>
    <s v="No"/>
    <n v="14"/>
    <s v="Month-to-month"/>
    <s v="DSL"/>
    <s v="Mailed check"/>
    <n v="129.54"/>
    <n v="1741.21"/>
    <x v="1"/>
    <x v="3"/>
  </r>
  <r>
    <x v="734"/>
    <s v="Female"/>
    <x v="0"/>
    <s v="No"/>
    <s v="No"/>
    <n v="16"/>
    <s v="One year"/>
    <s v="DSL"/>
    <s v="Electronic check"/>
    <n v="20"/>
    <n v="283.45"/>
    <x v="0"/>
    <x v="3"/>
  </r>
  <r>
    <x v="735"/>
    <s v="Male"/>
    <x v="0"/>
    <s v="No"/>
    <s v="No"/>
    <n v="23"/>
    <s v="Month-to-month"/>
    <s v="Fiber optic"/>
    <s v="Credit card"/>
    <n v="64.209999999999994"/>
    <n v="1593.13"/>
    <x v="0"/>
    <x v="3"/>
  </r>
  <r>
    <x v="736"/>
    <s v="Female"/>
    <x v="0"/>
    <s v="Yes"/>
    <s v="No"/>
    <n v="57"/>
    <s v="One year"/>
    <s v="No"/>
    <s v="Credit card"/>
    <n v="99.82"/>
    <n v="5692.53"/>
    <x v="0"/>
    <x v="0"/>
  </r>
  <r>
    <x v="737"/>
    <s v="Male"/>
    <x v="0"/>
    <s v="Yes"/>
    <s v="No"/>
    <n v="71"/>
    <s v="One year"/>
    <s v="No"/>
    <s v="Bank transfer"/>
    <n v="86.22"/>
    <n v="6110.19"/>
    <x v="0"/>
    <x v="1"/>
  </r>
  <r>
    <x v="738"/>
    <s v="Male"/>
    <x v="0"/>
    <s v="Yes"/>
    <s v="No"/>
    <n v="22"/>
    <s v="Month-to-month"/>
    <s v="Fiber optic"/>
    <s v="Electronic check"/>
    <n v="65.73"/>
    <n v="1339.18"/>
    <x v="0"/>
    <x v="3"/>
  </r>
  <r>
    <x v="739"/>
    <s v="Female"/>
    <x v="0"/>
    <s v="No"/>
    <s v="Yes"/>
    <n v="45"/>
    <s v="One year"/>
    <s v="No"/>
    <s v="Electronic check"/>
    <n v="60.09"/>
    <n v="2789.7"/>
    <x v="0"/>
    <x v="5"/>
  </r>
  <r>
    <x v="740"/>
    <s v="Male"/>
    <x v="0"/>
    <s v="Yes"/>
    <s v="No"/>
    <n v="71"/>
    <s v="Two year"/>
    <s v="Fiber optic"/>
    <s v="Bank transfer"/>
    <n v="91.57"/>
    <n v="6486.39"/>
    <x v="1"/>
    <x v="1"/>
  </r>
  <r>
    <x v="741"/>
    <s v="Female"/>
    <x v="0"/>
    <s v="No"/>
    <s v="Yes"/>
    <n v="7"/>
    <s v="Month-to-month"/>
    <s v="Fiber optic"/>
    <s v="Electronic check"/>
    <n v="83.35"/>
    <n v="409.77"/>
    <x v="1"/>
    <x v="2"/>
  </r>
  <r>
    <x v="742"/>
    <s v="Female"/>
    <x v="0"/>
    <s v="Yes"/>
    <s v="Yes"/>
    <n v="58"/>
    <s v="Two year"/>
    <s v="Fiber optic"/>
    <s v="Bank transfer"/>
    <n v="124.61"/>
    <n v="7101.57"/>
    <x v="0"/>
    <x v="0"/>
  </r>
  <r>
    <x v="743"/>
    <s v="Male"/>
    <x v="0"/>
    <s v="Yes"/>
    <s v="Yes"/>
    <n v="58"/>
    <s v="Month-to-month"/>
    <s v="DSL"/>
    <s v="Mailed check"/>
    <n v="78.489999999999995"/>
    <n v="4507.49"/>
    <x v="0"/>
    <x v="0"/>
  </r>
  <r>
    <x v="744"/>
    <s v="Male"/>
    <x v="0"/>
    <s v="Yes"/>
    <s v="No"/>
    <n v="12"/>
    <s v="One year"/>
    <s v="No"/>
    <s v="Bank transfer"/>
    <n v="83.39"/>
    <n v="914.85"/>
    <x v="0"/>
    <x v="2"/>
  </r>
  <r>
    <x v="745"/>
    <s v="Female"/>
    <x v="0"/>
    <s v="Yes"/>
    <s v="No"/>
    <n v="38"/>
    <s v="Month-to-month"/>
    <s v="Fiber optic"/>
    <s v="Bank transfer"/>
    <n v="84.54"/>
    <n v="3139.24"/>
    <x v="0"/>
    <x v="5"/>
  </r>
  <r>
    <x v="746"/>
    <s v="Male"/>
    <x v="1"/>
    <s v="No"/>
    <s v="No"/>
    <n v="27"/>
    <s v="Month-to-month"/>
    <s v="Fiber optic"/>
    <s v="Mailed check"/>
    <n v="29.19"/>
    <n v="975.7"/>
    <x v="1"/>
    <x v="4"/>
  </r>
  <r>
    <x v="747"/>
    <s v="Male"/>
    <x v="1"/>
    <s v="No"/>
    <s v="Yes"/>
    <n v="60"/>
    <s v="Two year"/>
    <s v="Fiber optic"/>
    <s v="Electronic check"/>
    <n v="50.19"/>
    <n v="3068"/>
    <x v="0"/>
    <x v="0"/>
  </r>
  <r>
    <x v="748"/>
    <s v="Male"/>
    <x v="0"/>
    <s v="Yes"/>
    <s v="No"/>
    <n v="15"/>
    <s v="Two year"/>
    <s v="DSL"/>
    <s v="Electronic check"/>
    <n v="45.38"/>
    <n v="474.51"/>
    <x v="0"/>
    <x v="3"/>
  </r>
  <r>
    <x v="749"/>
    <s v="Female"/>
    <x v="0"/>
    <s v="No"/>
    <s v="No"/>
    <n v="1"/>
    <s v="One year"/>
    <s v="DSL"/>
    <s v="Mailed check"/>
    <n v="63.77"/>
    <n v="38.619999999999997"/>
    <x v="0"/>
    <x v="2"/>
  </r>
  <r>
    <x v="750"/>
    <s v="Female"/>
    <x v="0"/>
    <s v="Yes"/>
    <s v="No"/>
    <n v="16"/>
    <s v="Month-to-month"/>
    <s v="Fiber optic"/>
    <s v="Bank transfer"/>
    <n v="131.96"/>
    <n v="2104.1999999999998"/>
    <x v="0"/>
    <x v="3"/>
  </r>
  <r>
    <x v="751"/>
    <s v="Male"/>
    <x v="0"/>
    <s v="Yes"/>
    <s v="No"/>
    <n v="29"/>
    <s v="Two year"/>
    <s v="DSL"/>
    <s v="Bank transfer"/>
    <n v="79.06"/>
    <n v="2174.59"/>
    <x v="1"/>
    <x v="4"/>
  </r>
  <r>
    <x v="752"/>
    <s v="Female"/>
    <x v="1"/>
    <s v="Yes"/>
    <s v="Yes"/>
    <n v="12"/>
    <s v="Month-to-month"/>
    <s v="Fiber optic"/>
    <s v="Bank transfer"/>
    <n v="77.36"/>
    <n v="971.07"/>
    <x v="0"/>
    <x v="2"/>
  </r>
  <r>
    <x v="753"/>
    <s v="Female"/>
    <x v="1"/>
    <s v="Yes"/>
    <s v="No"/>
    <n v="12"/>
    <s v="Two year"/>
    <s v="Fiber optic"/>
    <s v="Credit card"/>
    <n v="110.96"/>
    <n v="1168.21"/>
    <x v="0"/>
    <x v="2"/>
  </r>
  <r>
    <x v="754"/>
    <s v="Female"/>
    <x v="0"/>
    <s v="No"/>
    <s v="No"/>
    <n v="42"/>
    <s v="Month-to-month"/>
    <s v="Fiber optic"/>
    <s v="Electronic check"/>
    <n v="43.7"/>
    <n v="1923.16"/>
    <x v="1"/>
    <x v="5"/>
  </r>
  <r>
    <x v="755"/>
    <s v="Female"/>
    <x v="0"/>
    <s v="Yes"/>
    <s v="Yes"/>
    <n v="20"/>
    <s v="Month-to-month"/>
    <s v="Fiber optic"/>
    <s v="Electronic check"/>
    <n v="67.760000000000005"/>
    <n v="1470.52"/>
    <x v="1"/>
    <x v="3"/>
  </r>
  <r>
    <x v="756"/>
    <s v="Female"/>
    <x v="0"/>
    <s v="Yes"/>
    <s v="No"/>
    <n v="54"/>
    <s v="One year"/>
    <s v="Fiber optic"/>
    <s v="Electronic check"/>
    <n v="64.069999999999993"/>
    <n v="3647.99"/>
    <x v="0"/>
    <x v="0"/>
  </r>
  <r>
    <x v="757"/>
    <s v="Male"/>
    <x v="0"/>
    <s v="No"/>
    <s v="No"/>
    <n v="39"/>
    <s v="Month-to-month"/>
    <s v="Fiber optic"/>
    <s v="Bank transfer"/>
    <n v="89.95"/>
    <n v="3382.1"/>
    <x v="1"/>
    <x v="5"/>
  </r>
  <r>
    <x v="758"/>
    <s v="Male"/>
    <x v="1"/>
    <s v="Yes"/>
    <s v="No"/>
    <n v="14"/>
    <s v="Month-to-month"/>
    <s v="Fiber optic"/>
    <s v="Mailed check"/>
    <n v="102.4"/>
    <n v="1323.93"/>
    <x v="1"/>
    <x v="3"/>
  </r>
  <r>
    <x v="759"/>
    <s v="Male"/>
    <x v="0"/>
    <s v="Yes"/>
    <s v="Yes"/>
    <n v="72"/>
    <s v="Month-to-month"/>
    <s v="Fiber optic"/>
    <s v="Credit card"/>
    <n v="91.79"/>
    <n v="6664.29"/>
    <x v="0"/>
    <x v="1"/>
  </r>
  <r>
    <x v="760"/>
    <s v="Female"/>
    <x v="0"/>
    <s v="Yes"/>
    <s v="Yes"/>
    <n v="51"/>
    <s v="Month-to-month"/>
    <s v="Fiber optic"/>
    <s v="Mailed check"/>
    <n v="92.18"/>
    <n v="4795.79"/>
    <x v="0"/>
    <x v="0"/>
  </r>
  <r>
    <x v="761"/>
    <s v="Female"/>
    <x v="0"/>
    <s v="No"/>
    <s v="Yes"/>
    <n v="52"/>
    <s v="Month-to-month"/>
    <s v="No"/>
    <s v="Credit card"/>
    <n v="45.97"/>
    <n v="2455.16"/>
    <x v="0"/>
    <x v="0"/>
  </r>
  <r>
    <x v="762"/>
    <s v="Male"/>
    <x v="0"/>
    <s v="Yes"/>
    <s v="No"/>
    <n v="51"/>
    <s v="Month-to-month"/>
    <s v="DSL"/>
    <s v="Credit card"/>
    <n v="78.02"/>
    <n v="4065.4"/>
    <x v="0"/>
    <x v="0"/>
  </r>
  <r>
    <x v="763"/>
    <s v="Female"/>
    <x v="0"/>
    <s v="No"/>
    <s v="No"/>
    <n v="29"/>
    <s v="Month-to-month"/>
    <s v="Fiber optic"/>
    <s v="Electronic check"/>
    <n v="59"/>
    <n v="1821.15"/>
    <x v="1"/>
    <x v="4"/>
  </r>
  <r>
    <x v="764"/>
    <s v="Male"/>
    <x v="1"/>
    <s v="Yes"/>
    <s v="Yes"/>
    <n v="32"/>
    <s v="Month-to-month"/>
    <s v="No"/>
    <s v="Mailed check"/>
    <n v="71.849999999999994"/>
    <n v="2315.38"/>
    <x v="0"/>
    <x v="4"/>
  </r>
  <r>
    <x v="765"/>
    <s v="Male"/>
    <x v="1"/>
    <s v="Yes"/>
    <s v="No"/>
    <n v="56"/>
    <s v="One year"/>
    <s v="Fiber optic"/>
    <s v="Bank transfer"/>
    <n v="67.48"/>
    <n v="3761.88"/>
    <x v="0"/>
    <x v="0"/>
  </r>
  <r>
    <x v="766"/>
    <s v="Male"/>
    <x v="0"/>
    <s v="No"/>
    <s v="No"/>
    <n v="51"/>
    <s v="Month-to-month"/>
    <s v="DSL"/>
    <s v="Electronic check"/>
    <n v="41.96"/>
    <n v="2030.51"/>
    <x v="1"/>
    <x v="0"/>
  </r>
  <r>
    <x v="767"/>
    <s v="Female"/>
    <x v="0"/>
    <s v="Yes"/>
    <s v="Yes"/>
    <n v="8"/>
    <s v="Two year"/>
    <s v="Fiber optic"/>
    <s v="Mailed check"/>
    <n v="80.95"/>
    <n v="623.75"/>
    <x v="0"/>
    <x v="2"/>
  </r>
  <r>
    <x v="768"/>
    <s v="Female"/>
    <x v="0"/>
    <s v="Yes"/>
    <s v="No"/>
    <n v="53"/>
    <s v="Two year"/>
    <s v="DSL"/>
    <s v="Bank transfer"/>
    <n v="22.17"/>
    <n v="1163.42"/>
    <x v="1"/>
    <x v="0"/>
  </r>
  <r>
    <x v="769"/>
    <s v="Male"/>
    <x v="0"/>
    <s v="No"/>
    <s v="No"/>
    <n v="0"/>
    <s v="Month-to-month"/>
    <s v="DSL"/>
    <s v="Electronic check"/>
    <n v="106.86"/>
    <n v="53.43"/>
    <x v="0"/>
    <x v="6"/>
  </r>
  <r>
    <x v="770"/>
    <s v="Male"/>
    <x v="0"/>
    <s v="No"/>
    <s v="Yes"/>
    <n v="43"/>
    <s v="One year"/>
    <s v="No"/>
    <s v="Bank transfer"/>
    <n v="74.930000000000007"/>
    <n v="3218.93"/>
    <x v="0"/>
    <x v="5"/>
  </r>
  <r>
    <x v="771"/>
    <s v="Male"/>
    <x v="0"/>
    <s v="No"/>
    <s v="Yes"/>
    <n v="8"/>
    <s v="Two year"/>
    <s v="Fiber optic"/>
    <s v="Bank transfer"/>
    <n v="88.42"/>
    <n v="622.37"/>
    <x v="0"/>
    <x v="2"/>
  </r>
  <r>
    <x v="772"/>
    <s v="Male"/>
    <x v="0"/>
    <s v="No"/>
    <s v="No"/>
    <n v="31"/>
    <s v="Two year"/>
    <s v="DSL"/>
    <s v="Electronic check"/>
    <n v="29.41"/>
    <n v="1000.78"/>
    <x v="0"/>
    <x v="4"/>
  </r>
  <r>
    <x v="773"/>
    <s v="Female"/>
    <x v="1"/>
    <s v="No"/>
    <s v="No"/>
    <n v="14"/>
    <s v="One year"/>
    <s v="No"/>
    <s v="Mailed check"/>
    <n v="37.5"/>
    <n v="559.07000000000005"/>
    <x v="0"/>
    <x v="3"/>
  </r>
  <r>
    <x v="774"/>
    <s v="Female"/>
    <x v="0"/>
    <s v="Yes"/>
    <s v="No"/>
    <n v="11"/>
    <s v="Month-to-month"/>
    <s v="No"/>
    <s v="Electronic check"/>
    <n v="56.01"/>
    <n v="579.34"/>
    <x v="1"/>
    <x v="2"/>
  </r>
  <r>
    <x v="775"/>
    <s v="Male"/>
    <x v="1"/>
    <s v="No"/>
    <s v="No"/>
    <n v="56"/>
    <s v="One year"/>
    <s v="Fiber optic"/>
    <s v="Bank transfer"/>
    <n v="73.42"/>
    <n v="4126.63"/>
    <x v="0"/>
    <x v="0"/>
  </r>
  <r>
    <x v="776"/>
    <s v="Male"/>
    <x v="0"/>
    <s v="Yes"/>
    <s v="Yes"/>
    <n v="7"/>
    <s v="One year"/>
    <s v="DSL"/>
    <s v="Electronic check"/>
    <n v="27.79"/>
    <n v="106.12"/>
    <x v="0"/>
    <x v="2"/>
  </r>
  <r>
    <x v="777"/>
    <s v="Female"/>
    <x v="0"/>
    <s v="Yes"/>
    <s v="Yes"/>
    <n v="71"/>
    <s v="One year"/>
    <s v="Fiber optic"/>
    <s v="Credit card"/>
    <n v="47.09"/>
    <n v="3263.09"/>
    <x v="0"/>
    <x v="1"/>
  </r>
  <r>
    <x v="778"/>
    <s v="Female"/>
    <x v="1"/>
    <s v="Yes"/>
    <s v="No"/>
    <n v="26"/>
    <s v="Month-to-month"/>
    <s v="Fiber optic"/>
    <s v="Mailed check"/>
    <n v="72.92"/>
    <n v="1845.21"/>
    <x v="0"/>
    <x v="4"/>
  </r>
  <r>
    <x v="779"/>
    <s v="Male"/>
    <x v="0"/>
    <s v="No"/>
    <s v="Yes"/>
    <n v="61"/>
    <s v="Two year"/>
    <s v="Fiber optic"/>
    <s v="Electronic check"/>
    <n v="47.92"/>
    <n v="2907.77"/>
    <x v="0"/>
    <x v="1"/>
  </r>
  <r>
    <x v="780"/>
    <s v="Male"/>
    <x v="0"/>
    <s v="No"/>
    <s v="Yes"/>
    <n v="11"/>
    <s v="Two year"/>
    <s v="No"/>
    <s v="Mailed check"/>
    <n v="89.28"/>
    <n v="993.38"/>
    <x v="1"/>
    <x v="2"/>
  </r>
  <r>
    <x v="781"/>
    <s v="Male"/>
    <x v="0"/>
    <s v="Yes"/>
    <s v="No"/>
    <n v="64"/>
    <s v="Month-to-month"/>
    <s v="Fiber optic"/>
    <s v="Mailed check"/>
    <n v="92.36"/>
    <n v="5922.65"/>
    <x v="0"/>
    <x v="1"/>
  </r>
  <r>
    <x v="782"/>
    <s v="Female"/>
    <x v="0"/>
    <s v="No"/>
    <s v="No"/>
    <n v="41"/>
    <s v="Month-to-month"/>
    <s v="DSL"/>
    <s v="Mailed check"/>
    <n v="49.91"/>
    <n v="1940.81"/>
    <x v="0"/>
    <x v="5"/>
  </r>
  <r>
    <x v="783"/>
    <s v="Female"/>
    <x v="1"/>
    <s v="No"/>
    <s v="No"/>
    <n v="61"/>
    <s v="Month-to-month"/>
    <s v="Fiber optic"/>
    <s v="Bank transfer"/>
    <n v="109.23"/>
    <n v="6656.57"/>
    <x v="0"/>
    <x v="1"/>
  </r>
  <r>
    <x v="784"/>
    <s v="Female"/>
    <x v="0"/>
    <s v="No"/>
    <s v="No"/>
    <n v="10"/>
    <s v="Two year"/>
    <s v="DSL"/>
    <s v="Mailed check"/>
    <n v="94.19"/>
    <n v="876.46"/>
    <x v="1"/>
    <x v="2"/>
  </r>
  <r>
    <x v="785"/>
    <s v="Male"/>
    <x v="0"/>
    <s v="No"/>
    <s v="Yes"/>
    <n v="42"/>
    <s v="One year"/>
    <s v="Fiber optic"/>
    <s v="Electronic check"/>
    <n v="87.22"/>
    <n v="3390.52"/>
    <x v="0"/>
    <x v="5"/>
  </r>
  <r>
    <x v="786"/>
    <s v="Male"/>
    <x v="1"/>
    <s v="Yes"/>
    <s v="No"/>
    <n v="16"/>
    <s v="One year"/>
    <s v="Fiber optic"/>
    <s v="Electronic check"/>
    <n v="79.010000000000005"/>
    <n v="1510.21"/>
    <x v="0"/>
    <x v="3"/>
  </r>
  <r>
    <x v="787"/>
    <s v="Female"/>
    <x v="0"/>
    <s v="Yes"/>
    <s v="Yes"/>
    <n v="31"/>
    <s v="Month-to-month"/>
    <s v="DSL"/>
    <s v="Bank transfer"/>
    <n v="62.54"/>
    <n v="1874.85"/>
    <x v="1"/>
    <x v="4"/>
  </r>
  <r>
    <x v="788"/>
    <s v="Female"/>
    <x v="1"/>
    <s v="No"/>
    <s v="No"/>
    <n v="39"/>
    <s v="One year"/>
    <s v="Fiber optic"/>
    <s v="Mailed check"/>
    <n v="66.5"/>
    <n v="2534.0500000000002"/>
    <x v="0"/>
    <x v="5"/>
  </r>
  <r>
    <x v="789"/>
    <s v="Male"/>
    <x v="1"/>
    <s v="Yes"/>
    <s v="No"/>
    <n v="22"/>
    <s v="Month-to-month"/>
    <s v="DSL"/>
    <s v="Mailed check"/>
    <n v="36.58"/>
    <n v="697.05"/>
    <x v="1"/>
    <x v="3"/>
  </r>
  <r>
    <x v="790"/>
    <s v="Female"/>
    <x v="0"/>
    <s v="No"/>
    <s v="No"/>
    <n v="55"/>
    <s v="Month-to-month"/>
    <s v="DSL"/>
    <s v="Credit card"/>
    <n v="108.21"/>
    <n v="5866.95"/>
    <x v="0"/>
    <x v="0"/>
  </r>
  <r>
    <x v="791"/>
    <s v="Female"/>
    <x v="1"/>
    <s v="No"/>
    <s v="No"/>
    <n v="5"/>
    <s v="One year"/>
    <s v="Fiber optic"/>
    <s v="Mailed check"/>
    <n v="66.989999999999995"/>
    <n v="319.86"/>
    <x v="1"/>
    <x v="2"/>
  </r>
  <r>
    <x v="792"/>
    <s v="Male"/>
    <x v="0"/>
    <s v="Yes"/>
    <s v="No"/>
    <n v="49"/>
    <s v="Two year"/>
    <s v="DSL"/>
    <s v="Credit card"/>
    <n v="70.709999999999994"/>
    <n v="3572.94"/>
    <x v="0"/>
    <x v="0"/>
  </r>
  <r>
    <x v="793"/>
    <s v="Female"/>
    <x v="0"/>
    <s v="Yes"/>
    <s v="Yes"/>
    <n v="36"/>
    <s v="Two year"/>
    <s v="Fiber optic"/>
    <s v="Electronic check"/>
    <n v="57.24"/>
    <n v="2045.09"/>
    <x v="0"/>
    <x v="4"/>
  </r>
  <r>
    <x v="794"/>
    <s v="Male"/>
    <x v="0"/>
    <s v="Yes"/>
    <s v="No"/>
    <n v="63"/>
    <s v="Two year"/>
    <s v="DSL"/>
    <s v="Electronic check"/>
    <n v="63.51"/>
    <n v="3975.25"/>
    <x v="0"/>
    <x v="1"/>
  </r>
  <r>
    <x v="795"/>
    <s v="Male"/>
    <x v="0"/>
    <s v="No"/>
    <s v="No"/>
    <n v="53"/>
    <s v="Month-to-month"/>
    <s v="Fiber optic"/>
    <s v="Credit card"/>
    <n v="140"/>
    <n v="7516.02"/>
    <x v="0"/>
    <x v="0"/>
  </r>
  <r>
    <x v="796"/>
    <s v="Male"/>
    <x v="0"/>
    <s v="Yes"/>
    <s v="Yes"/>
    <n v="71"/>
    <s v="Month-to-month"/>
    <s v="Fiber optic"/>
    <s v="Mailed check"/>
    <n v="61.85"/>
    <n v="4349.3999999999996"/>
    <x v="0"/>
    <x v="1"/>
  </r>
  <r>
    <x v="797"/>
    <s v="Male"/>
    <x v="1"/>
    <s v="No"/>
    <s v="No"/>
    <n v="48"/>
    <s v="One year"/>
    <s v="Fiber optic"/>
    <s v="Credit card"/>
    <n v="116.21"/>
    <n v="5579.77"/>
    <x v="0"/>
    <x v="5"/>
  </r>
  <r>
    <x v="798"/>
    <s v="Male"/>
    <x v="0"/>
    <s v="Yes"/>
    <s v="No"/>
    <n v="10"/>
    <s v="Two year"/>
    <s v="Fiber optic"/>
    <s v="Electronic check"/>
    <n v="79.3"/>
    <n v="719.27"/>
    <x v="0"/>
    <x v="2"/>
  </r>
  <r>
    <x v="799"/>
    <s v="Male"/>
    <x v="0"/>
    <s v="Yes"/>
    <s v="Yes"/>
    <n v="48"/>
    <s v="Month-to-month"/>
    <s v="No"/>
    <s v="Bank transfer"/>
    <n v="72"/>
    <n v="3590.81"/>
    <x v="0"/>
    <x v="5"/>
  </r>
  <r>
    <x v="800"/>
    <s v="Male"/>
    <x v="1"/>
    <s v="No"/>
    <s v="No"/>
    <n v="20"/>
    <s v="Month-to-month"/>
    <s v="DSL"/>
    <s v="Credit card"/>
    <n v="101.11"/>
    <n v="2106.08"/>
    <x v="1"/>
    <x v="3"/>
  </r>
  <r>
    <x v="801"/>
    <s v="Female"/>
    <x v="0"/>
    <s v="No"/>
    <s v="No"/>
    <n v="65"/>
    <s v="Month-to-month"/>
    <s v="DSL"/>
    <s v="Electronic check"/>
    <n v="76.81"/>
    <n v="4980.41"/>
    <x v="0"/>
    <x v="1"/>
  </r>
  <r>
    <x v="802"/>
    <s v="Male"/>
    <x v="1"/>
    <s v="No"/>
    <s v="No"/>
    <n v="62"/>
    <s v="One year"/>
    <s v="Fiber optic"/>
    <s v="Credit card"/>
    <n v="71.209999999999994"/>
    <n v="4383.0600000000004"/>
    <x v="0"/>
    <x v="1"/>
  </r>
  <r>
    <x v="803"/>
    <s v="Male"/>
    <x v="0"/>
    <s v="No"/>
    <s v="No"/>
    <n v="27"/>
    <s v="Month-to-month"/>
    <s v="DSL"/>
    <s v="Bank transfer"/>
    <n v="65.349999999999994"/>
    <n v="1761.9"/>
    <x v="0"/>
    <x v="4"/>
  </r>
  <r>
    <x v="804"/>
    <s v="Female"/>
    <x v="0"/>
    <s v="No"/>
    <s v="No"/>
    <n v="16"/>
    <s v="Month-to-month"/>
    <s v="No"/>
    <s v="Bank transfer"/>
    <n v="51.19"/>
    <n v="807.97"/>
    <x v="1"/>
    <x v="3"/>
  </r>
  <r>
    <x v="805"/>
    <s v="Female"/>
    <x v="0"/>
    <s v="No"/>
    <s v="No"/>
    <n v="5"/>
    <s v="Month-to-month"/>
    <s v="DSL"/>
    <s v="Mailed check"/>
    <n v="116.61"/>
    <n v="459.3"/>
    <x v="1"/>
    <x v="2"/>
  </r>
  <r>
    <x v="806"/>
    <s v="Female"/>
    <x v="0"/>
    <s v="No"/>
    <s v="No"/>
    <n v="18"/>
    <s v="Month-to-month"/>
    <s v="Fiber optic"/>
    <s v="Credit card"/>
    <n v="42.9"/>
    <n v="858.81"/>
    <x v="1"/>
    <x v="3"/>
  </r>
  <r>
    <x v="807"/>
    <s v="Male"/>
    <x v="0"/>
    <s v="No"/>
    <s v="Yes"/>
    <n v="55"/>
    <s v="Two year"/>
    <s v="Fiber optic"/>
    <s v="Electronic check"/>
    <n v="35.729999999999997"/>
    <n v="1946.98"/>
    <x v="0"/>
    <x v="0"/>
  </r>
  <r>
    <x v="808"/>
    <s v="Female"/>
    <x v="0"/>
    <s v="Yes"/>
    <s v="No"/>
    <n v="27"/>
    <s v="Month-to-month"/>
    <s v="DSL"/>
    <s v="Electronic check"/>
    <n v="27.4"/>
    <n v="891.67"/>
    <x v="0"/>
    <x v="4"/>
  </r>
  <r>
    <x v="809"/>
    <s v="Male"/>
    <x v="0"/>
    <s v="No"/>
    <s v="No"/>
    <n v="65"/>
    <s v="One year"/>
    <s v="Fiber optic"/>
    <s v="Credit card"/>
    <n v="57.65"/>
    <n v="3781"/>
    <x v="0"/>
    <x v="1"/>
  </r>
  <r>
    <x v="810"/>
    <s v="Male"/>
    <x v="1"/>
    <s v="No"/>
    <s v="Yes"/>
    <n v="37"/>
    <s v="One year"/>
    <s v="DSL"/>
    <s v="Bank transfer"/>
    <n v="87.5"/>
    <n v="3035.81"/>
    <x v="1"/>
    <x v="5"/>
  </r>
  <r>
    <x v="811"/>
    <s v="Male"/>
    <x v="0"/>
    <s v="Yes"/>
    <s v="No"/>
    <n v="36"/>
    <s v="Two year"/>
    <s v="Fiber optic"/>
    <s v="Electronic check"/>
    <n v="99.04"/>
    <n v="3462.91"/>
    <x v="0"/>
    <x v="4"/>
  </r>
  <r>
    <x v="812"/>
    <s v="Male"/>
    <x v="0"/>
    <s v="No"/>
    <s v="No"/>
    <n v="67"/>
    <s v="Month-to-month"/>
    <s v="DSL"/>
    <s v="Mailed check"/>
    <n v="54.81"/>
    <n v="3500.59"/>
    <x v="0"/>
    <x v="1"/>
  </r>
  <r>
    <x v="813"/>
    <s v="Female"/>
    <x v="0"/>
    <s v="Yes"/>
    <s v="Yes"/>
    <n v="48"/>
    <s v="Two year"/>
    <s v="No"/>
    <s v="Mailed check"/>
    <n v="54.29"/>
    <n v="2502.4"/>
    <x v="0"/>
    <x v="5"/>
  </r>
  <r>
    <x v="814"/>
    <s v="Female"/>
    <x v="0"/>
    <s v="Yes"/>
    <s v="No"/>
    <n v="42"/>
    <s v="One year"/>
    <s v="No"/>
    <s v="Mailed check"/>
    <n v="27.09"/>
    <n v="1007.09"/>
    <x v="0"/>
    <x v="5"/>
  </r>
  <r>
    <x v="815"/>
    <s v="Male"/>
    <x v="0"/>
    <s v="No"/>
    <s v="No"/>
    <n v="35"/>
    <s v="Two year"/>
    <s v="DSL"/>
    <s v="Electronic check"/>
    <n v="44.41"/>
    <n v="1574.56"/>
    <x v="0"/>
    <x v="4"/>
  </r>
  <r>
    <x v="816"/>
    <s v="Male"/>
    <x v="0"/>
    <s v="Yes"/>
    <s v="No"/>
    <n v="57"/>
    <s v="Two year"/>
    <s v="DSL"/>
    <s v="Bank transfer"/>
    <n v="84.5"/>
    <n v="4791.21"/>
    <x v="0"/>
    <x v="0"/>
  </r>
  <r>
    <x v="817"/>
    <s v="Male"/>
    <x v="0"/>
    <s v="No"/>
    <s v="Yes"/>
    <n v="12"/>
    <s v="Month-to-month"/>
    <s v="Fiber optic"/>
    <s v="Electronic check"/>
    <n v="106.19"/>
    <n v="1333.52"/>
    <x v="0"/>
    <x v="2"/>
  </r>
  <r>
    <x v="818"/>
    <s v="Female"/>
    <x v="1"/>
    <s v="Yes"/>
    <s v="Yes"/>
    <n v="51"/>
    <s v="Month-to-month"/>
    <s v="DSL"/>
    <s v="Credit card"/>
    <n v="58.08"/>
    <n v="2959.03"/>
    <x v="0"/>
    <x v="0"/>
  </r>
  <r>
    <x v="819"/>
    <s v="Male"/>
    <x v="1"/>
    <s v="Yes"/>
    <s v="No"/>
    <n v="57"/>
    <s v="Month-to-month"/>
    <s v="No"/>
    <s v="Credit card"/>
    <n v="95.88"/>
    <n v="5445.94"/>
    <x v="0"/>
    <x v="0"/>
  </r>
  <r>
    <x v="820"/>
    <s v="Male"/>
    <x v="0"/>
    <s v="Yes"/>
    <s v="No"/>
    <n v="31"/>
    <s v="Month-to-month"/>
    <s v="Fiber optic"/>
    <s v="Mailed check"/>
    <n v="104.14"/>
    <n v="3388.6"/>
    <x v="0"/>
    <x v="4"/>
  </r>
  <r>
    <x v="821"/>
    <s v="Female"/>
    <x v="1"/>
    <s v="No"/>
    <s v="Yes"/>
    <n v="59"/>
    <s v="Month-to-month"/>
    <s v="Fiber optic"/>
    <s v="Electronic check"/>
    <n v="119.79"/>
    <n v="7085.44"/>
    <x v="0"/>
    <x v="0"/>
  </r>
  <r>
    <x v="822"/>
    <s v="Female"/>
    <x v="0"/>
    <s v="No"/>
    <s v="No"/>
    <n v="57"/>
    <s v="Month-to-month"/>
    <s v="Fiber optic"/>
    <s v="Electronic check"/>
    <n v="72.48"/>
    <n v="4124.92"/>
    <x v="1"/>
    <x v="0"/>
  </r>
  <r>
    <x v="823"/>
    <s v="Male"/>
    <x v="0"/>
    <s v="Yes"/>
    <s v="Yes"/>
    <n v="55"/>
    <s v="Month-to-month"/>
    <s v="Fiber optic"/>
    <s v="Mailed check"/>
    <n v="118.02"/>
    <n v="6422.82"/>
    <x v="0"/>
    <x v="0"/>
  </r>
  <r>
    <x v="824"/>
    <s v="Female"/>
    <x v="0"/>
    <s v="Yes"/>
    <s v="No"/>
    <n v="27"/>
    <s v="Month-to-month"/>
    <s v="No"/>
    <s v="Bank transfer"/>
    <n v="109.49"/>
    <n v="2862.16"/>
    <x v="0"/>
    <x v="4"/>
  </r>
  <r>
    <x v="825"/>
    <s v="Female"/>
    <x v="0"/>
    <s v="No"/>
    <s v="No"/>
    <n v="0"/>
    <s v="Month-to-month"/>
    <s v="No"/>
    <s v="Mailed check"/>
    <n v="44.69"/>
    <n v="61.64"/>
    <x v="0"/>
    <x v="6"/>
  </r>
  <r>
    <x v="826"/>
    <s v="Male"/>
    <x v="0"/>
    <s v="No"/>
    <s v="No"/>
    <n v="41"/>
    <s v="Month-to-month"/>
    <s v="DSL"/>
    <s v="Bank transfer"/>
    <n v="66.150000000000006"/>
    <n v="2769.01"/>
    <x v="0"/>
    <x v="5"/>
  </r>
  <r>
    <x v="827"/>
    <s v="Female"/>
    <x v="0"/>
    <s v="Yes"/>
    <s v="Yes"/>
    <n v="47"/>
    <s v="Month-to-month"/>
    <s v="DSL"/>
    <s v="Mailed check"/>
    <n v="46.31"/>
    <n v="2302.3000000000002"/>
    <x v="0"/>
    <x v="5"/>
  </r>
  <r>
    <x v="828"/>
    <s v="Male"/>
    <x v="0"/>
    <s v="Yes"/>
    <s v="No"/>
    <n v="39"/>
    <s v="Month-to-month"/>
    <s v="No"/>
    <s v="Electronic check"/>
    <n v="26.39"/>
    <n v="1067.52"/>
    <x v="0"/>
    <x v="5"/>
  </r>
  <r>
    <x v="829"/>
    <s v="Female"/>
    <x v="0"/>
    <s v="No"/>
    <s v="Yes"/>
    <n v="62"/>
    <s v="Month-to-month"/>
    <s v="No"/>
    <s v="Electronic check"/>
    <n v="26.69"/>
    <n v="1623.33"/>
    <x v="0"/>
    <x v="1"/>
  </r>
  <r>
    <x v="830"/>
    <s v="Male"/>
    <x v="0"/>
    <s v="No"/>
    <s v="No"/>
    <n v="71"/>
    <s v="Month-to-month"/>
    <s v="DSL"/>
    <s v="Electronic check"/>
    <n v="49.71"/>
    <n v="3570.29"/>
    <x v="0"/>
    <x v="1"/>
  </r>
  <r>
    <x v="831"/>
    <s v="Male"/>
    <x v="0"/>
    <s v="No"/>
    <s v="No"/>
    <n v="3"/>
    <s v="Two year"/>
    <s v="Fiber optic"/>
    <s v="Electronic check"/>
    <n v="86.87"/>
    <n v="254.19"/>
    <x v="0"/>
    <x v="2"/>
  </r>
  <r>
    <x v="832"/>
    <s v="Male"/>
    <x v="0"/>
    <s v="No"/>
    <s v="Yes"/>
    <n v="37"/>
    <s v="Month-to-month"/>
    <s v="Fiber optic"/>
    <s v="Mailed check"/>
    <n v="60.77"/>
    <n v="2317.7199999999998"/>
    <x v="0"/>
    <x v="5"/>
  </r>
  <r>
    <x v="833"/>
    <s v="Female"/>
    <x v="0"/>
    <s v="No"/>
    <s v="Yes"/>
    <n v="26"/>
    <s v="Month-to-month"/>
    <s v="DSL"/>
    <s v="Credit card"/>
    <n v="76.099999999999994"/>
    <n v="2085.35"/>
    <x v="0"/>
    <x v="4"/>
  </r>
  <r>
    <x v="834"/>
    <s v="Male"/>
    <x v="0"/>
    <s v="Yes"/>
    <s v="No"/>
    <n v="8"/>
    <s v="Month-to-month"/>
    <s v="No"/>
    <s v="Credit card"/>
    <n v="61.62"/>
    <n v="479.48"/>
    <x v="1"/>
    <x v="2"/>
  </r>
  <r>
    <x v="835"/>
    <s v="Female"/>
    <x v="0"/>
    <s v="No"/>
    <s v="No"/>
    <n v="15"/>
    <s v="Two year"/>
    <s v="DSL"/>
    <s v="Electronic check"/>
    <n v="58.25"/>
    <n v="1014.33"/>
    <x v="0"/>
    <x v="3"/>
  </r>
  <r>
    <x v="836"/>
    <s v="Male"/>
    <x v="0"/>
    <s v="Yes"/>
    <s v="No"/>
    <n v="55"/>
    <s v="Two year"/>
    <s v="No"/>
    <s v="Electronic check"/>
    <n v="53.43"/>
    <n v="3033.72"/>
    <x v="0"/>
    <x v="0"/>
  </r>
  <r>
    <x v="837"/>
    <s v="Male"/>
    <x v="0"/>
    <s v="No"/>
    <s v="Yes"/>
    <n v="30"/>
    <s v="Two year"/>
    <s v="DSL"/>
    <s v="Electronic check"/>
    <n v="56.8"/>
    <n v="1705.41"/>
    <x v="0"/>
    <x v="4"/>
  </r>
  <r>
    <x v="838"/>
    <s v="Female"/>
    <x v="1"/>
    <s v="Yes"/>
    <s v="No"/>
    <n v="13"/>
    <s v="One year"/>
    <s v="Fiber optic"/>
    <s v="Electronic check"/>
    <n v="72.23"/>
    <n v="992.65"/>
    <x v="0"/>
    <x v="3"/>
  </r>
  <r>
    <x v="839"/>
    <s v="Male"/>
    <x v="1"/>
    <s v="No"/>
    <s v="No"/>
    <n v="24"/>
    <s v="Month-to-month"/>
    <s v="DSL"/>
    <s v="Mailed check"/>
    <n v="49.78"/>
    <n v="1219.1600000000001"/>
    <x v="0"/>
    <x v="3"/>
  </r>
  <r>
    <x v="840"/>
    <s v="Male"/>
    <x v="0"/>
    <s v="No"/>
    <s v="No"/>
    <n v="33"/>
    <s v="Month-to-month"/>
    <s v="Fiber optic"/>
    <s v="Mailed check"/>
    <n v="82.1"/>
    <n v="2711.06"/>
    <x v="0"/>
    <x v="4"/>
  </r>
  <r>
    <x v="841"/>
    <s v="Female"/>
    <x v="0"/>
    <s v="Yes"/>
    <s v="No"/>
    <n v="66"/>
    <s v="Month-to-month"/>
    <s v="Fiber optic"/>
    <s v="Electronic check"/>
    <n v="64.989999999999995"/>
    <n v="4442.3900000000003"/>
    <x v="0"/>
    <x v="1"/>
  </r>
  <r>
    <x v="842"/>
    <s v="Male"/>
    <x v="0"/>
    <s v="Yes"/>
    <s v="No"/>
    <n v="23"/>
    <s v="Two year"/>
    <s v="DSL"/>
    <s v="Electronic check"/>
    <n v="40.85"/>
    <n v="980.96"/>
    <x v="0"/>
    <x v="3"/>
  </r>
  <r>
    <x v="843"/>
    <s v="Male"/>
    <x v="0"/>
    <s v="No"/>
    <s v="No"/>
    <n v="72"/>
    <s v="One year"/>
    <s v="Fiber optic"/>
    <s v="Electronic check"/>
    <n v="94.84"/>
    <n v="6761.2"/>
    <x v="0"/>
    <x v="1"/>
  </r>
  <r>
    <x v="844"/>
    <s v="Male"/>
    <x v="0"/>
    <s v="No"/>
    <s v="No"/>
    <n v="25"/>
    <s v="One year"/>
    <s v="Fiber optic"/>
    <s v="Electronic check"/>
    <n v="95.68"/>
    <n v="2309.7600000000002"/>
    <x v="0"/>
    <x v="4"/>
  </r>
  <r>
    <x v="845"/>
    <s v="Male"/>
    <x v="0"/>
    <s v="No"/>
    <s v="No"/>
    <n v="19"/>
    <s v="Month-to-month"/>
    <s v="DSL"/>
    <s v="Bank transfer"/>
    <n v="97.79"/>
    <n v="1779.04"/>
    <x v="0"/>
    <x v="3"/>
  </r>
  <r>
    <x v="846"/>
    <s v="Female"/>
    <x v="0"/>
    <s v="No"/>
    <s v="No"/>
    <n v="63"/>
    <s v="Two year"/>
    <s v="Fiber optic"/>
    <s v="Electronic check"/>
    <n v="54.39"/>
    <n v="3465.73"/>
    <x v="0"/>
    <x v="1"/>
  </r>
  <r>
    <x v="847"/>
    <s v="Female"/>
    <x v="0"/>
    <s v="No"/>
    <s v="Yes"/>
    <n v="9"/>
    <s v="Month-to-month"/>
    <s v="DSL"/>
    <s v="Mailed check"/>
    <n v="57.98"/>
    <n v="494.5"/>
    <x v="0"/>
    <x v="2"/>
  </r>
  <r>
    <x v="848"/>
    <s v="Male"/>
    <x v="0"/>
    <s v="Yes"/>
    <s v="No"/>
    <n v="66"/>
    <s v="Month-to-month"/>
    <s v="Fiber optic"/>
    <s v="Bank transfer"/>
    <n v="85.76"/>
    <n v="5686.82"/>
    <x v="0"/>
    <x v="1"/>
  </r>
  <r>
    <x v="849"/>
    <s v="Female"/>
    <x v="1"/>
    <s v="Yes"/>
    <s v="No"/>
    <n v="23"/>
    <s v="Month-to-month"/>
    <s v="Fiber optic"/>
    <s v="Credit card"/>
    <n v="67.45"/>
    <n v="1626.26"/>
    <x v="1"/>
    <x v="3"/>
  </r>
  <r>
    <x v="850"/>
    <s v="Male"/>
    <x v="0"/>
    <s v="No"/>
    <s v="No"/>
    <n v="4"/>
    <s v="One year"/>
    <s v="Fiber optic"/>
    <s v="Credit card"/>
    <n v="94.27"/>
    <n v="539.38"/>
    <x v="0"/>
    <x v="2"/>
  </r>
  <r>
    <x v="851"/>
    <s v="Female"/>
    <x v="0"/>
    <s v="Yes"/>
    <s v="Yes"/>
    <n v="66"/>
    <s v="Month-to-month"/>
    <s v="DSL"/>
    <s v="Bank transfer"/>
    <n v="82.45"/>
    <n v="5416.22"/>
    <x v="0"/>
    <x v="1"/>
  </r>
  <r>
    <x v="852"/>
    <s v="Male"/>
    <x v="0"/>
    <s v="Yes"/>
    <s v="Yes"/>
    <n v="57"/>
    <s v="Two year"/>
    <s v="Fiber optic"/>
    <s v="Electronic check"/>
    <n v="91.98"/>
    <n v="5130.18"/>
    <x v="0"/>
    <x v="0"/>
  </r>
  <r>
    <x v="853"/>
    <s v="Male"/>
    <x v="0"/>
    <s v="Yes"/>
    <s v="No"/>
    <n v="26"/>
    <s v="Month-to-month"/>
    <s v="Fiber optic"/>
    <s v="Bank transfer"/>
    <n v="116.49"/>
    <n v="3172.13"/>
    <x v="0"/>
    <x v="4"/>
  </r>
  <r>
    <x v="854"/>
    <s v="Male"/>
    <x v="0"/>
    <s v="No"/>
    <s v="Yes"/>
    <n v="14"/>
    <s v="One year"/>
    <s v="Fiber optic"/>
    <s v="Bank transfer"/>
    <n v="96.1"/>
    <n v="1228.83"/>
    <x v="1"/>
    <x v="3"/>
  </r>
  <r>
    <x v="855"/>
    <s v="Male"/>
    <x v="0"/>
    <s v="Yes"/>
    <s v="No"/>
    <n v="34"/>
    <s v="Month-to-month"/>
    <s v="Fiber optic"/>
    <s v="Electronic check"/>
    <n v="83.85"/>
    <n v="2731.19"/>
    <x v="1"/>
    <x v="4"/>
  </r>
  <r>
    <x v="856"/>
    <s v="Male"/>
    <x v="0"/>
    <s v="No"/>
    <s v="Yes"/>
    <n v="52"/>
    <s v="Month-to-month"/>
    <s v="Fiber optic"/>
    <s v="Mailed check"/>
    <n v="75.16"/>
    <n v="4049.64"/>
    <x v="0"/>
    <x v="0"/>
  </r>
  <r>
    <x v="857"/>
    <s v="Male"/>
    <x v="0"/>
    <s v="Yes"/>
    <s v="Yes"/>
    <n v="43"/>
    <s v="Two year"/>
    <s v="DSL"/>
    <s v="Credit card"/>
    <n v="66.900000000000006"/>
    <n v="2962"/>
    <x v="0"/>
    <x v="5"/>
  </r>
  <r>
    <x v="858"/>
    <s v="Female"/>
    <x v="0"/>
    <s v="No"/>
    <s v="Yes"/>
    <n v="25"/>
    <s v="One year"/>
    <s v="DSL"/>
    <s v="Mailed check"/>
    <n v="43.39"/>
    <n v="1123.54"/>
    <x v="0"/>
    <x v="4"/>
  </r>
  <r>
    <x v="859"/>
    <s v="Male"/>
    <x v="0"/>
    <s v="Yes"/>
    <s v="Yes"/>
    <n v="46"/>
    <s v="One year"/>
    <s v="DSL"/>
    <s v="Electronic check"/>
    <n v="25.86"/>
    <n v="1185.57"/>
    <x v="0"/>
    <x v="5"/>
  </r>
  <r>
    <x v="860"/>
    <s v="Female"/>
    <x v="0"/>
    <s v="No"/>
    <s v="No"/>
    <n v="33"/>
    <s v="Two year"/>
    <s v="DSL"/>
    <s v="Electronic check"/>
    <n v="81.59"/>
    <n v="2673.33"/>
    <x v="0"/>
    <x v="4"/>
  </r>
  <r>
    <x v="861"/>
    <s v="Male"/>
    <x v="0"/>
    <s v="No"/>
    <s v="Yes"/>
    <n v="49"/>
    <s v="One year"/>
    <s v="Fiber optic"/>
    <s v="Mailed check"/>
    <n v="110.59"/>
    <n v="5366.84"/>
    <x v="0"/>
    <x v="0"/>
  </r>
  <r>
    <x v="862"/>
    <s v="Female"/>
    <x v="0"/>
    <s v="Yes"/>
    <s v="No"/>
    <n v="11"/>
    <s v="Month-to-month"/>
    <s v="DSL"/>
    <s v="Electronic check"/>
    <n v="61.75"/>
    <n v="656.61"/>
    <x v="1"/>
    <x v="2"/>
  </r>
  <r>
    <x v="863"/>
    <s v="Female"/>
    <x v="0"/>
    <s v="No"/>
    <s v="No"/>
    <n v="3"/>
    <s v="One year"/>
    <s v="DSL"/>
    <s v="Bank transfer"/>
    <n v="109.68"/>
    <n v="325.25"/>
    <x v="1"/>
    <x v="2"/>
  </r>
  <r>
    <x v="864"/>
    <s v="Female"/>
    <x v="0"/>
    <s v="No"/>
    <s v="No"/>
    <n v="47"/>
    <s v="Month-to-month"/>
    <s v="DSL"/>
    <s v="Bank transfer"/>
    <n v="65.59"/>
    <n v="2972.77"/>
    <x v="0"/>
    <x v="5"/>
  </r>
  <r>
    <x v="865"/>
    <s v="Male"/>
    <x v="1"/>
    <s v="No"/>
    <s v="No"/>
    <n v="54"/>
    <s v="Month-to-month"/>
    <s v="DSL"/>
    <s v="Electronic check"/>
    <n v="21.16"/>
    <n v="1077.02"/>
    <x v="0"/>
    <x v="0"/>
  </r>
  <r>
    <x v="866"/>
    <s v="Male"/>
    <x v="0"/>
    <s v="No"/>
    <s v="No"/>
    <n v="0"/>
    <s v="Month-to-month"/>
    <s v="DSL"/>
    <s v="Credit card"/>
    <n v="92.96"/>
    <n v="46.48"/>
    <x v="1"/>
    <x v="6"/>
  </r>
  <r>
    <x v="867"/>
    <s v="Female"/>
    <x v="0"/>
    <s v="No"/>
    <s v="No"/>
    <n v="65"/>
    <s v="One year"/>
    <s v="DSL"/>
    <s v="Mailed check"/>
    <n v="58.02"/>
    <n v="3777.53"/>
    <x v="0"/>
    <x v="1"/>
  </r>
  <r>
    <x v="868"/>
    <s v="Male"/>
    <x v="0"/>
    <s v="No"/>
    <s v="Yes"/>
    <n v="29"/>
    <s v="One year"/>
    <s v="Fiber optic"/>
    <s v="Electronic check"/>
    <n v="105.22"/>
    <n v="3057.63"/>
    <x v="0"/>
    <x v="4"/>
  </r>
  <r>
    <x v="869"/>
    <s v="Female"/>
    <x v="0"/>
    <s v="No"/>
    <s v="No"/>
    <n v="2"/>
    <s v="Month-to-month"/>
    <s v="Fiber optic"/>
    <s v="Bank transfer"/>
    <n v="48.06"/>
    <n v="238.4"/>
    <x v="1"/>
    <x v="2"/>
  </r>
  <r>
    <x v="870"/>
    <s v="Male"/>
    <x v="0"/>
    <s v="No"/>
    <s v="No"/>
    <n v="20"/>
    <s v="One year"/>
    <s v="DSL"/>
    <s v="Bank transfer"/>
    <n v="80.3"/>
    <n v="1636.04"/>
    <x v="0"/>
    <x v="3"/>
  </r>
  <r>
    <x v="871"/>
    <s v="Female"/>
    <x v="0"/>
    <s v="Yes"/>
    <s v="No"/>
    <n v="48"/>
    <s v="Two year"/>
    <s v="Fiber optic"/>
    <s v="Bank transfer"/>
    <n v="59.99"/>
    <n v="2835.04"/>
    <x v="0"/>
    <x v="5"/>
  </r>
  <r>
    <x v="872"/>
    <s v="Female"/>
    <x v="0"/>
    <s v="Yes"/>
    <s v="No"/>
    <n v="61"/>
    <s v="Month-to-month"/>
    <s v="DSL"/>
    <s v="Credit card"/>
    <n v="75.040000000000006"/>
    <n v="4561.41"/>
    <x v="0"/>
    <x v="1"/>
  </r>
  <r>
    <x v="873"/>
    <s v="Male"/>
    <x v="0"/>
    <s v="No"/>
    <s v="No"/>
    <n v="37"/>
    <s v="Month-to-month"/>
    <s v="DSL"/>
    <s v="Bank transfer"/>
    <n v="89.17"/>
    <n v="3338.24"/>
    <x v="0"/>
    <x v="5"/>
  </r>
  <r>
    <x v="874"/>
    <s v="Female"/>
    <x v="0"/>
    <s v="No"/>
    <s v="No"/>
    <n v="14"/>
    <s v="One year"/>
    <s v="DSL"/>
    <s v="Credit card"/>
    <n v="83.36"/>
    <n v="1185.25"/>
    <x v="0"/>
    <x v="3"/>
  </r>
  <r>
    <x v="875"/>
    <s v="Male"/>
    <x v="0"/>
    <s v="Yes"/>
    <s v="No"/>
    <n v="51"/>
    <s v="Month-to-month"/>
    <s v="Fiber optic"/>
    <s v="Mailed check"/>
    <n v="81.73"/>
    <n v="4214.49"/>
    <x v="0"/>
    <x v="0"/>
  </r>
  <r>
    <x v="876"/>
    <s v="Female"/>
    <x v="0"/>
    <s v="Yes"/>
    <s v="No"/>
    <n v="45"/>
    <s v="One year"/>
    <s v="Fiber optic"/>
    <s v="Bank transfer"/>
    <n v="45.54"/>
    <n v="2079.46"/>
    <x v="0"/>
    <x v="5"/>
  </r>
  <r>
    <x v="877"/>
    <s v="Female"/>
    <x v="0"/>
    <s v="Yes"/>
    <s v="Yes"/>
    <n v="24"/>
    <s v="Month-to-month"/>
    <s v="DSL"/>
    <s v="Credit card"/>
    <n v="88.26"/>
    <n v="2098.0300000000002"/>
    <x v="0"/>
    <x v="3"/>
  </r>
  <r>
    <x v="878"/>
    <s v="Male"/>
    <x v="0"/>
    <s v="No"/>
    <s v="No"/>
    <n v="20"/>
    <s v="Month-to-month"/>
    <s v="DSL"/>
    <s v="Bank transfer"/>
    <n v="95.79"/>
    <n v="1872.94"/>
    <x v="1"/>
    <x v="3"/>
  </r>
  <r>
    <x v="879"/>
    <s v="Male"/>
    <x v="0"/>
    <s v="Yes"/>
    <s v="Yes"/>
    <n v="4"/>
    <s v="One year"/>
    <s v="No"/>
    <s v="Electronic check"/>
    <n v="28.93"/>
    <n v="68.56"/>
    <x v="0"/>
    <x v="2"/>
  </r>
  <r>
    <x v="880"/>
    <s v="Male"/>
    <x v="0"/>
    <s v="No"/>
    <s v="No"/>
    <n v="69"/>
    <s v="One year"/>
    <s v="DSL"/>
    <s v="Mailed check"/>
    <n v="47.6"/>
    <n v="3210.38"/>
    <x v="0"/>
    <x v="1"/>
  </r>
  <r>
    <x v="881"/>
    <s v="Female"/>
    <x v="0"/>
    <s v="No"/>
    <s v="No"/>
    <n v="46"/>
    <s v="Two year"/>
    <s v="DSL"/>
    <s v="Bank transfer"/>
    <n v="96.84"/>
    <n v="4368.07"/>
    <x v="0"/>
    <x v="5"/>
  </r>
  <r>
    <x v="882"/>
    <s v="Male"/>
    <x v="0"/>
    <s v="Yes"/>
    <s v="Yes"/>
    <n v="67"/>
    <s v="Two year"/>
    <s v="No"/>
    <s v="Electronic check"/>
    <n v="49.79"/>
    <n v="3483.01"/>
    <x v="0"/>
    <x v="1"/>
  </r>
  <r>
    <x v="883"/>
    <s v="Female"/>
    <x v="0"/>
    <s v="No"/>
    <s v="Yes"/>
    <n v="17"/>
    <s v="One year"/>
    <s v="Fiber optic"/>
    <s v="Credit card"/>
    <n v="58.25"/>
    <n v="1000.23"/>
    <x v="1"/>
    <x v="3"/>
  </r>
  <r>
    <x v="884"/>
    <s v="Female"/>
    <x v="0"/>
    <s v="No"/>
    <s v="Yes"/>
    <n v="20"/>
    <s v="One year"/>
    <s v="Fiber optic"/>
    <s v="Electronic check"/>
    <n v="86.81"/>
    <n v="1723.78"/>
    <x v="1"/>
    <x v="3"/>
  </r>
  <r>
    <x v="885"/>
    <s v="Male"/>
    <x v="0"/>
    <s v="No"/>
    <s v="No"/>
    <n v="22"/>
    <s v="Month-to-month"/>
    <s v="Fiber optic"/>
    <s v="Electronic check"/>
    <n v="64.040000000000006"/>
    <n v="1369.21"/>
    <x v="1"/>
    <x v="3"/>
  </r>
  <r>
    <x v="886"/>
    <s v="Male"/>
    <x v="0"/>
    <s v="No"/>
    <s v="No"/>
    <n v="63"/>
    <s v="Month-to-month"/>
    <s v="DSL"/>
    <s v="Credit card"/>
    <n v="74.03"/>
    <n v="4698.2"/>
    <x v="0"/>
    <x v="1"/>
  </r>
  <r>
    <x v="887"/>
    <s v="Female"/>
    <x v="1"/>
    <s v="Yes"/>
    <s v="No"/>
    <n v="66"/>
    <s v="Month-to-month"/>
    <s v="DSL"/>
    <s v="Mailed check"/>
    <n v="59.67"/>
    <n v="4034.51"/>
    <x v="0"/>
    <x v="1"/>
  </r>
  <r>
    <x v="888"/>
    <s v="Female"/>
    <x v="0"/>
    <s v="Yes"/>
    <s v="No"/>
    <n v="39"/>
    <s v="Two year"/>
    <s v="Fiber optic"/>
    <s v="Electronic check"/>
    <n v="71.81"/>
    <n v="2858.45"/>
    <x v="1"/>
    <x v="5"/>
  </r>
  <r>
    <x v="889"/>
    <s v="Male"/>
    <x v="0"/>
    <s v="No"/>
    <s v="No"/>
    <n v="9"/>
    <s v="Month-to-month"/>
    <s v="DSL"/>
    <s v="Bank transfer"/>
    <n v="97.76"/>
    <n v="953.57"/>
    <x v="0"/>
    <x v="2"/>
  </r>
  <r>
    <x v="890"/>
    <s v="Male"/>
    <x v="0"/>
    <s v="No"/>
    <s v="No"/>
    <n v="51"/>
    <s v="One year"/>
    <s v="Fiber optic"/>
    <s v="Bank transfer"/>
    <n v="20"/>
    <n v="973.08"/>
    <x v="0"/>
    <x v="0"/>
  </r>
  <r>
    <x v="891"/>
    <s v="Male"/>
    <x v="1"/>
    <s v="Yes"/>
    <s v="No"/>
    <n v="71"/>
    <s v="Month-to-month"/>
    <s v="No"/>
    <s v="Electronic check"/>
    <n v="68.87"/>
    <n v="4889.4399999999996"/>
    <x v="0"/>
    <x v="1"/>
  </r>
  <r>
    <x v="892"/>
    <s v="Male"/>
    <x v="0"/>
    <s v="No"/>
    <s v="No"/>
    <n v="60"/>
    <s v="One year"/>
    <s v="No"/>
    <s v="Credit card"/>
    <n v="78.64"/>
    <n v="4672.53"/>
    <x v="0"/>
    <x v="0"/>
  </r>
  <r>
    <x v="893"/>
    <s v="Male"/>
    <x v="0"/>
    <s v="Yes"/>
    <s v="No"/>
    <n v="63"/>
    <s v="Two year"/>
    <s v="DSL"/>
    <s v="Mailed check"/>
    <n v="54.45"/>
    <n v="3438.91"/>
    <x v="0"/>
    <x v="1"/>
  </r>
  <r>
    <x v="894"/>
    <s v="Female"/>
    <x v="0"/>
    <s v="No"/>
    <s v="Yes"/>
    <n v="4"/>
    <s v="Month-to-month"/>
    <s v="Fiber optic"/>
    <s v="Mailed check"/>
    <n v="103.44"/>
    <n v="515.57000000000005"/>
    <x v="0"/>
    <x v="2"/>
  </r>
  <r>
    <x v="895"/>
    <s v="Female"/>
    <x v="0"/>
    <s v="No"/>
    <s v="No"/>
    <n v="52"/>
    <s v="Two year"/>
    <s v="Fiber optic"/>
    <s v="Mailed check"/>
    <n v="56.02"/>
    <n v="2948.19"/>
    <x v="0"/>
    <x v="0"/>
  </r>
  <r>
    <x v="896"/>
    <s v="Female"/>
    <x v="0"/>
    <s v="Yes"/>
    <s v="No"/>
    <n v="54"/>
    <s v="Month-to-month"/>
    <s v="No"/>
    <s v="Bank transfer"/>
    <n v="38.5"/>
    <n v="2209.14"/>
    <x v="0"/>
    <x v="0"/>
  </r>
  <r>
    <x v="897"/>
    <s v="Female"/>
    <x v="0"/>
    <s v="Yes"/>
    <s v="Yes"/>
    <n v="36"/>
    <s v="Month-to-month"/>
    <s v="DSL"/>
    <s v="Electronic check"/>
    <n v="50.62"/>
    <n v="1799.24"/>
    <x v="0"/>
    <x v="4"/>
  </r>
  <r>
    <x v="898"/>
    <s v="Male"/>
    <x v="0"/>
    <s v="Yes"/>
    <s v="No"/>
    <n v="55"/>
    <s v="Two year"/>
    <s v="DSL"/>
    <s v="Electronic check"/>
    <n v="93.78"/>
    <n v="5093.34"/>
    <x v="0"/>
    <x v="0"/>
  </r>
  <r>
    <x v="899"/>
    <s v="Male"/>
    <x v="0"/>
    <s v="Yes"/>
    <s v="Yes"/>
    <n v="58"/>
    <s v="Month-to-month"/>
    <s v="DSL"/>
    <s v="Mailed check"/>
    <n v="26.38"/>
    <n v="1571.01"/>
    <x v="0"/>
    <x v="0"/>
  </r>
  <r>
    <x v="900"/>
    <s v="Male"/>
    <x v="0"/>
    <s v="No"/>
    <s v="Yes"/>
    <n v="68"/>
    <s v="Two year"/>
    <s v="DSL"/>
    <s v="Credit card"/>
    <n v="111"/>
    <n v="7557.51"/>
    <x v="0"/>
    <x v="1"/>
  </r>
  <r>
    <x v="901"/>
    <s v="Female"/>
    <x v="0"/>
    <s v="Yes"/>
    <s v="No"/>
    <n v="72"/>
    <s v="Month-to-month"/>
    <s v="DSL"/>
    <s v="Electronic check"/>
    <n v="62.38"/>
    <n v="4517.18"/>
    <x v="0"/>
    <x v="1"/>
  </r>
  <r>
    <x v="902"/>
    <s v="Female"/>
    <x v="1"/>
    <s v="No"/>
    <s v="Yes"/>
    <n v="58"/>
    <s v="Month-to-month"/>
    <s v="Fiber optic"/>
    <s v="Bank transfer"/>
    <n v="95.37"/>
    <n v="5545.32"/>
    <x v="0"/>
    <x v="0"/>
  </r>
  <r>
    <x v="903"/>
    <s v="Male"/>
    <x v="0"/>
    <s v="Yes"/>
    <s v="No"/>
    <n v="1"/>
    <s v="Two year"/>
    <s v="Fiber optic"/>
    <s v="Credit card"/>
    <n v="93.22"/>
    <n v="54.47"/>
    <x v="0"/>
    <x v="2"/>
  </r>
  <r>
    <x v="904"/>
    <s v="Male"/>
    <x v="0"/>
    <s v="Yes"/>
    <s v="No"/>
    <n v="64"/>
    <s v="Month-to-month"/>
    <s v="DSL"/>
    <s v="Electronic check"/>
    <n v="73.78"/>
    <n v="4737.58"/>
    <x v="0"/>
    <x v="1"/>
  </r>
  <r>
    <x v="905"/>
    <s v="Female"/>
    <x v="0"/>
    <s v="No"/>
    <s v="Yes"/>
    <n v="59"/>
    <s v="Two year"/>
    <s v="Fiber optic"/>
    <s v="Electronic check"/>
    <n v="64.98"/>
    <n v="3911.69"/>
    <x v="0"/>
    <x v="0"/>
  </r>
  <r>
    <x v="906"/>
    <s v="Female"/>
    <x v="0"/>
    <s v="Yes"/>
    <s v="No"/>
    <n v="50"/>
    <s v="Two year"/>
    <s v="DSL"/>
    <s v="Electronic check"/>
    <n v="101.06"/>
    <n v="5139.09"/>
    <x v="0"/>
    <x v="0"/>
  </r>
  <r>
    <x v="907"/>
    <s v="Male"/>
    <x v="0"/>
    <s v="Yes"/>
    <s v="Yes"/>
    <n v="29"/>
    <s v="Month-to-month"/>
    <s v="No"/>
    <s v="Bank transfer"/>
    <n v="42.13"/>
    <n v="1182.6099999999999"/>
    <x v="0"/>
    <x v="4"/>
  </r>
  <r>
    <x v="908"/>
    <s v="Male"/>
    <x v="0"/>
    <s v="Yes"/>
    <s v="No"/>
    <n v="10"/>
    <s v="Month-to-month"/>
    <s v="No"/>
    <s v="Electronic check"/>
    <n v="36.72"/>
    <n v="385.68"/>
    <x v="0"/>
    <x v="2"/>
  </r>
  <r>
    <x v="909"/>
    <s v="Female"/>
    <x v="0"/>
    <s v="Yes"/>
    <s v="No"/>
    <n v="38"/>
    <s v="Month-to-month"/>
    <s v="No"/>
    <s v="Mailed check"/>
    <n v="76.94"/>
    <n v="3041.89"/>
    <x v="0"/>
    <x v="5"/>
  </r>
  <r>
    <x v="910"/>
    <s v="Male"/>
    <x v="0"/>
    <s v="No"/>
    <s v="Yes"/>
    <n v="71"/>
    <s v="Month-to-month"/>
    <s v="No"/>
    <s v="Mailed check"/>
    <n v="58.64"/>
    <n v="4126.01"/>
    <x v="0"/>
    <x v="1"/>
  </r>
  <r>
    <x v="911"/>
    <s v="Male"/>
    <x v="1"/>
    <s v="No"/>
    <s v="Yes"/>
    <n v="62"/>
    <s v="Month-to-month"/>
    <s v="DSL"/>
    <s v="Bank transfer"/>
    <n v="103.95"/>
    <n v="6392.94"/>
    <x v="0"/>
    <x v="1"/>
  </r>
  <r>
    <x v="912"/>
    <s v="Male"/>
    <x v="0"/>
    <s v="Yes"/>
    <s v="No"/>
    <n v="63"/>
    <s v="Month-to-month"/>
    <s v="DSL"/>
    <s v="Electronic check"/>
    <n v="68.430000000000007"/>
    <n v="4374.6400000000003"/>
    <x v="0"/>
    <x v="1"/>
  </r>
  <r>
    <x v="913"/>
    <s v="Female"/>
    <x v="1"/>
    <s v="Yes"/>
    <s v="No"/>
    <n v="60"/>
    <s v="Month-to-month"/>
    <s v="Fiber optic"/>
    <s v="Mailed check"/>
    <n v="63.73"/>
    <n v="3873.32"/>
    <x v="0"/>
    <x v="0"/>
  </r>
  <r>
    <x v="914"/>
    <s v="Female"/>
    <x v="0"/>
    <s v="Yes"/>
    <s v="Yes"/>
    <n v="53"/>
    <s v="Month-to-month"/>
    <s v="No"/>
    <s v="Bank transfer"/>
    <n v="61.87"/>
    <n v="3212.15"/>
    <x v="0"/>
    <x v="0"/>
  </r>
  <r>
    <x v="915"/>
    <s v="Female"/>
    <x v="0"/>
    <s v="No"/>
    <s v="No"/>
    <n v="72"/>
    <s v="Two year"/>
    <s v="DSL"/>
    <s v="Credit card"/>
    <n v="58.81"/>
    <n v="4122.3599999999997"/>
    <x v="0"/>
    <x v="1"/>
  </r>
  <r>
    <x v="916"/>
    <s v="Female"/>
    <x v="1"/>
    <s v="No"/>
    <s v="No"/>
    <n v="57"/>
    <s v="Two year"/>
    <s v="DSL"/>
    <s v="Credit card"/>
    <n v="54.45"/>
    <n v="3120.57"/>
    <x v="0"/>
    <x v="0"/>
  </r>
  <r>
    <x v="917"/>
    <s v="Female"/>
    <x v="1"/>
    <s v="No"/>
    <s v="No"/>
    <n v="55"/>
    <s v="One year"/>
    <s v="Fiber optic"/>
    <s v="Mailed check"/>
    <n v="100.8"/>
    <n v="5510.51"/>
    <x v="0"/>
    <x v="0"/>
  </r>
  <r>
    <x v="918"/>
    <s v="Female"/>
    <x v="0"/>
    <s v="No"/>
    <s v="No"/>
    <n v="33"/>
    <s v="Month-to-month"/>
    <s v="DSL"/>
    <s v="Mailed check"/>
    <n v="115.79"/>
    <n v="3686.34"/>
    <x v="0"/>
    <x v="4"/>
  </r>
  <r>
    <x v="919"/>
    <s v="Female"/>
    <x v="0"/>
    <s v="Yes"/>
    <s v="No"/>
    <n v="30"/>
    <s v="Two year"/>
    <s v="Fiber optic"/>
    <s v="Electronic check"/>
    <n v="73.84"/>
    <n v="2160.2199999999998"/>
    <x v="0"/>
    <x v="4"/>
  </r>
  <r>
    <x v="920"/>
    <s v="Male"/>
    <x v="0"/>
    <s v="Yes"/>
    <s v="No"/>
    <n v="51"/>
    <s v="Month-to-month"/>
    <s v="Fiber optic"/>
    <s v="Electronic check"/>
    <n v="55.63"/>
    <n v="2885.34"/>
    <x v="0"/>
    <x v="0"/>
  </r>
  <r>
    <x v="921"/>
    <s v="Male"/>
    <x v="0"/>
    <s v="Yes"/>
    <s v="No"/>
    <n v="0"/>
    <s v="One year"/>
    <s v="DSL"/>
    <s v="Electronic check"/>
    <n v="66.16"/>
    <n v="33.08"/>
    <x v="0"/>
    <x v="6"/>
  </r>
  <r>
    <x v="922"/>
    <s v="Male"/>
    <x v="1"/>
    <s v="No"/>
    <s v="No"/>
    <n v="54"/>
    <s v="Two year"/>
    <s v="DSL"/>
    <s v="Bank transfer"/>
    <n v="82.87"/>
    <n v="4600.2700000000004"/>
    <x v="0"/>
    <x v="0"/>
  </r>
  <r>
    <x v="923"/>
    <s v="Male"/>
    <x v="1"/>
    <s v="Yes"/>
    <s v="Yes"/>
    <n v="21"/>
    <s v="Month-to-month"/>
    <s v="Fiber optic"/>
    <s v="Electronic check"/>
    <n v="86.44"/>
    <n v="1648.26"/>
    <x v="1"/>
    <x v="3"/>
  </r>
  <r>
    <x v="924"/>
    <s v="Male"/>
    <x v="0"/>
    <s v="No"/>
    <s v="No"/>
    <n v="39"/>
    <s v="One year"/>
    <s v="Fiber optic"/>
    <s v="Electronic check"/>
    <n v="109.86"/>
    <n v="4391.58"/>
    <x v="0"/>
    <x v="5"/>
  </r>
  <r>
    <x v="925"/>
    <s v="Male"/>
    <x v="0"/>
    <s v="No"/>
    <s v="No"/>
    <n v="0"/>
    <s v="Two year"/>
    <s v="No"/>
    <s v="Credit card"/>
    <n v="71.63"/>
    <n v="35.814999999999998"/>
    <x v="0"/>
    <x v="6"/>
  </r>
  <r>
    <x v="926"/>
    <s v="Male"/>
    <x v="1"/>
    <s v="Yes"/>
    <s v="No"/>
    <n v="64"/>
    <s v="Two year"/>
    <s v="DSL"/>
    <s v="Electronic check"/>
    <n v="42.41"/>
    <n v="2675.17"/>
    <x v="0"/>
    <x v="1"/>
  </r>
  <r>
    <x v="927"/>
    <s v="Female"/>
    <x v="0"/>
    <s v="Yes"/>
    <s v="No"/>
    <n v="62"/>
    <s v="One year"/>
    <s v="DSL"/>
    <s v="Electronic check"/>
    <n v="57.67"/>
    <n v="3451.44"/>
    <x v="0"/>
    <x v="1"/>
  </r>
  <r>
    <x v="928"/>
    <s v="Female"/>
    <x v="0"/>
    <s v="Yes"/>
    <s v="No"/>
    <n v="53"/>
    <s v="Month-to-month"/>
    <s v="Fiber optic"/>
    <s v="Electronic check"/>
    <n v="45.48"/>
    <n v="2447.65"/>
    <x v="0"/>
    <x v="0"/>
  </r>
  <r>
    <x v="929"/>
    <s v="Male"/>
    <x v="0"/>
    <s v="No"/>
    <s v="No"/>
    <n v="41"/>
    <s v="Month-to-month"/>
    <s v="Fiber optic"/>
    <s v="Bank transfer"/>
    <n v="108.62"/>
    <n v="4307.28"/>
    <x v="0"/>
    <x v="5"/>
  </r>
  <r>
    <x v="930"/>
    <s v="Male"/>
    <x v="0"/>
    <s v="No"/>
    <s v="No"/>
    <n v="20"/>
    <s v="Month-to-month"/>
    <s v="DSL"/>
    <s v="Bank transfer"/>
    <n v="20.2"/>
    <n v="469.43"/>
    <x v="0"/>
    <x v="3"/>
  </r>
  <r>
    <x v="931"/>
    <s v="Female"/>
    <x v="0"/>
    <s v="Yes"/>
    <s v="No"/>
    <n v="21"/>
    <s v="One year"/>
    <s v="Fiber optic"/>
    <s v="Mailed check"/>
    <n v="47.92"/>
    <n v="885.25"/>
    <x v="0"/>
    <x v="3"/>
  </r>
  <r>
    <x v="932"/>
    <s v="Male"/>
    <x v="0"/>
    <s v="Yes"/>
    <s v="Yes"/>
    <n v="37"/>
    <s v="Month-to-month"/>
    <s v="DSL"/>
    <s v="Mailed check"/>
    <n v="57.2"/>
    <n v="2007.94"/>
    <x v="1"/>
    <x v="5"/>
  </r>
  <r>
    <x v="933"/>
    <s v="Male"/>
    <x v="0"/>
    <s v="No"/>
    <s v="No"/>
    <n v="7"/>
    <s v="Two year"/>
    <s v="DSL"/>
    <s v="Bank transfer"/>
    <n v="84.1"/>
    <n v="493.4"/>
    <x v="0"/>
    <x v="2"/>
  </r>
  <r>
    <x v="934"/>
    <s v="Female"/>
    <x v="1"/>
    <s v="Yes"/>
    <s v="No"/>
    <n v="61"/>
    <s v="Month-to-month"/>
    <s v="DSL"/>
    <s v="Credit card"/>
    <n v="56.96"/>
    <n v="3417.28"/>
    <x v="0"/>
    <x v="1"/>
  </r>
  <r>
    <x v="935"/>
    <s v="Male"/>
    <x v="1"/>
    <s v="No"/>
    <s v="Yes"/>
    <n v="46"/>
    <s v="Month-to-month"/>
    <s v="Fiber optic"/>
    <s v="Credit card"/>
    <n v="70.87"/>
    <n v="3335.39"/>
    <x v="0"/>
    <x v="5"/>
  </r>
  <r>
    <x v="936"/>
    <s v="Female"/>
    <x v="0"/>
    <s v="No"/>
    <s v="No"/>
    <n v="16"/>
    <s v="Month-to-month"/>
    <s v="Fiber optic"/>
    <s v="Credit card"/>
    <n v="71.36"/>
    <n v="1262.08"/>
    <x v="0"/>
    <x v="3"/>
  </r>
  <r>
    <x v="937"/>
    <s v="Male"/>
    <x v="0"/>
    <s v="Yes"/>
    <s v="No"/>
    <n v="16"/>
    <s v="One year"/>
    <s v="Fiber optic"/>
    <s v="Mailed check"/>
    <n v="84.32"/>
    <n v="1300.1099999999999"/>
    <x v="0"/>
    <x v="3"/>
  </r>
  <r>
    <x v="938"/>
    <s v="Female"/>
    <x v="0"/>
    <s v="Yes"/>
    <s v="No"/>
    <n v="12"/>
    <s v="Month-to-month"/>
    <s v="Fiber optic"/>
    <s v="Electronic check"/>
    <n v="49.49"/>
    <n v="590.15"/>
    <x v="1"/>
    <x v="2"/>
  </r>
  <r>
    <x v="939"/>
    <s v="Female"/>
    <x v="0"/>
    <s v="Yes"/>
    <s v="Yes"/>
    <n v="16"/>
    <s v="Month-to-month"/>
    <s v="No"/>
    <s v="Electronic check"/>
    <n v="31.32"/>
    <n v="540.30999999999995"/>
    <x v="0"/>
    <x v="3"/>
  </r>
  <r>
    <x v="940"/>
    <s v="Female"/>
    <x v="0"/>
    <s v="Yes"/>
    <s v="Yes"/>
    <n v="37"/>
    <s v="Month-to-month"/>
    <s v="DSL"/>
    <s v="Electronic check"/>
    <n v="112.02"/>
    <n v="4118.3999999999996"/>
    <x v="0"/>
    <x v="5"/>
  </r>
  <r>
    <x v="941"/>
    <s v="Male"/>
    <x v="1"/>
    <s v="No"/>
    <s v="No"/>
    <n v="44"/>
    <s v="Month-to-month"/>
    <s v="DSL"/>
    <s v="Bank transfer"/>
    <n v="80.06"/>
    <n v="3558.7"/>
    <x v="0"/>
    <x v="5"/>
  </r>
  <r>
    <x v="942"/>
    <s v="Female"/>
    <x v="0"/>
    <s v="No"/>
    <s v="Yes"/>
    <n v="5"/>
    <s v="Month-to-month"/>
    <s v="DSL"/>
    <s v="Credit card"/>
    <n v="89.02"/>
    <n v="444.77"/>
    <x v="0"/>
    <x v="2"/>
  </r>
  <r>
    <x v="943"/>
    <s v="Male"/>
    <x v="0"/>
    <s v="No"/>
    <s v="No"/>
    <n v="34"/>
    <s v="Two year"/>
    <s v="DSL"/>
    <s v="Mailed check"/>
    <n v="71.45"/>
    <n v="2409.02"/>
    <x v="1"/>
    <x v="4"/>
  </r>
  <r>
    <x v="944"/>
    <s v="Male"/>
    <x v="0"/>
    <s v="Yes"/>
    <s v="No"/>
    <n v="13"/>
    <s v="Month-to-month"/>
    <s v="Fiber optic"/>
    <s v="Electronic check"/>
    <n v="76.489999999999995"/>
    <n v="880.78"/>
    <x v="1"/>
    <x v="3"/>
  </r>
  <r>
    <x v="945"/>
    <s v="Male"/>
    <x v="0"/>
    <s v="No"/>
    <s v="Yes"/>
    <n v="71"/>
    <s v="Month-to-month"/>
    <s v="Fiber optic"/>
    <s v="Mailed check"/>
    <n v="91.43"/>
    <n v="6503.45"/>
    <x v="1"/>
    <x v="1"/>
  </r>
  <r>
    <x v="946"/>
    <s v="Male"/>
    <x v="0"/>
    <s v="Yes"/>
    <s v="No"/>
    <n v="60"/>
    <s v="Two year"/>
    <s v="Fiber optic"/>
    <s v="Credit card"/>
    <n v="98.19"/>
    <n v="5968.07"/>
    <x v="0"/>
    <x v="0"/>
  </r>
  <r>
    <x v="947"/>
    <s v="Female"/>
    <x v="0"/>
    <s v="Yes"/>
    <s v="No"/>
    <n v="14"/>
    <s v="Two year"/>
    <s v="DSL"/>
    <s v="Bank transfer"/>
    <n v="91.15"/>
    <n v="1213.8399999999999"/>
    <x v="0"/>
    <x v="3"/>
  </r>
  <r>
    <x v="948"/>
    <s v="Female"/>
    <x v="0"/>
    <s v="Yes"/>
    <s v="No"/>
    <n v="53"/>
    <s v="One year"/>
    <s v="DSL"/>
    <s v="Credit card"/>
    <n v="66.84"/>
    <n v="3385.06"/>
    <x v="0"/>
    <x v="0"/>
  </r>
  <r>
    <x v="949"/>
    <s v="Male"/>
    <x v="0"/>
    <s v="Yes"/>
    <s v="No"/>
    <n v="26"/>
    <s v="Month-to-month"/>
    <s v="Fiber optic"/>
    <s v="Credit card"/>
    <n v="103.88"/>
    <n v="2675.32"/>
    <x v="1"/>
    <x v="4"/>
  </r>
  <r>
    <x v="950"/>
    <s v="Male"/>
    <x v="0"/>
    <s v="Yes"/>
    <s v="No"/>
    <n v="12"/>
    <s v="Two year"/>
    <s v="DSL"/>
    <s v="Credit card"/>
    <n v="20"/>
    <n v="360.78"/>
    <x v="0"/>
    <x v="2"/>
  </r>
  <r>
    <x v="951"/>
    <s v="Female"/>
    <x v="0"/>
    <s v="Yes"/>
    <s v="No"/>
    <n v="30"/>
    <s v="Two year"/>
    <s v="Fiber optic"/>
    <s v="Bank transfer"/>
    <n v="102.31"/>
    <n v="3166.26"/>
    <x v="0"/>
    <x v="4"/>
  </r>
  <r>
    <x v="952"/>
    <s v="Male"/>
    <x v="0"/>
    <s v="No"/>
    <s v="No"/>
    <n v="34"/>
    <s v="One year"/>
    <s v="No"/>
    <s v="Bank transfer"/>
    <n v="44.33"/>
    <n v="1460.78"/>
    <x v="0"/>
    <x v="4"/>
  </r>
  <r>
    <x v="953"/>
    <s v="Female"/>
    <x v="0"/>
    <s v="Yes"/>
    <s v="No"/>
    <n v="59"/>
    <s v="Month-to-month"/>
    <s v="Fiber optic"/>
    <s v="Electronic check"/>
    <n v="93.83"/>
    <n v="5572.41"/>
    <x v="0"/>
    <x v="0"/>
  </r>
  <r>
    <x v="954"/>
    <s v="Male"/>
    <x v="1"/>
    <s v="No"/>
    <s v="No"/>
    <n v="5"/>
    <s v="One year"/>
    <s v="Fiber optic"/>
    <s v="Electronic check"/>
    <n v="63.77"/>
    <n v="367.93"/>
    <x v="0"/>
    <x v="2"/>
  </r>
  <r>
    <x v="955"/>
    <s v="Male"/>
    <x v="0"/>
    <s v="No"/>
    <s v="No"/>
    <n v="68"/>
    <s v="One year"/>
    <s v="Fiber optic"/>
    <s v="Mailed check"/>
    <n v="46.83"/>
    <n v="3303.67"/>
    <x v="0"/>
    <x v="1"/>
  </r>
  <r>
    <x v="956"/>
    <s v="Female"/>
    <x v="0"/>
    <s v="Yes"/>
    <s v="No"/>
    <n v="57"/>
    <s v="Month-to-month"/>
    <s v="DSL"/>
    <s v="Electronic check"/>
    <n v="78.489999999999995"/>
    <n v="4349.88"/>
    <x v="0"/>
    <x v="0"/>
  </r>
  <r>
    <x v="957"/>
    <s v="Male"/>
    <x v="0"/>
    <s v="Yes"/>
    <s v="No"/>
    <n v="48"/>
    <s v="Month-to-month"/>
    <s v="Fiber optic"/>
    <s v="Credit card"/>
    <n v="42.46"/>
    <n v="1952.57"/>
    <x v="1"/>
    <x v="5"/>
  </r>
  <r>
    <x v="958"/>
    <s v="Female"/>
    <x v="0"/>
    <s v="Yes"/>
    <s v="Yes"/>
    <n v="22"/>
    <s v="Two year"/>
    <s v="DSL"/>
    <s v="Electronic check"/>
    <n v="60.01"/>
    <n v="1159.44"/>
    <x v="0"/>
    <x v="3"/>
  </r>
  <r>
    <x v="959"/>
    <s v="Male"/>
    <x v="0"/>
    <s v="No"/>
    <s v="No"/>
    <n v="33"/>
    <s v="One year"/>
    <s v="DSL"/>
    <s v="Credit card"/>
    <n v="49.69"/>
    <n v="1585.5"/>
    <x v="0"/>
    <x v="4"/>
  </r>
  <r>
    <x v="960"/>
    <s v="Male"/>
    <x v="0"/>
    <s v="Yes"/>
    <s v="Yes"/>
    <n v="25"/>
    <s v="Month-to-month"/>
    <s v="Fiber optic"/>
    <s v="Mailed check"/>
    <n v="75.62"/>
    <n v="1975.8"/>
    <x v="0"/>
    <x v="4"/>
  </r>
  <r>
    <x v="961"/>
    <s v="Male"/>
    <x v="0"/>
    <s v="No"/>
    <s v="No"/>
    <n v="46"/>
    <s v="One year"/>
    <s v="No"/>
    <s v="Electronic check"/>
    <n v="74.930000000000007"/>
    <n v="3402"/>
    <x v="0"/>
    <x v="5"/>
  </r>
  <r>
    <x v="962"/>
    <s v="Female"/>
    <x v="1"/>
    <s v="Yes"/>
    <s v="No"/>
    <n v="4"/>
    <s v="Month-to-month"/>
    <s v="DSL"/>
    <s v="Credit card"/>
    <n v="57.75"/>
    <n v="126.34"/>
    <x v="1"/>
    <x v="2"/>
  </r>
  <r>
    <x v="963"/>
    <s v="Male"/>
    <x v="0"/>
    <s v="Yes"/>
    <s v="No"/>
    <n v="19"/>
    <s v="Month-to-month"/>
    <s v="Fiber optic"/>
    <s v="Mailed check"/>
    <n v="87.86"/>
    <n v="1687.47"/>
    <x v="0"/>
    <x v="3"/>
  </r>
  <r>
    <x v="964"/>
    <s v="Male"/>
    <x v="0"/>
    <s v="No"/>
    <s v="No"/>
    <n v="5"/>
    <s v="One year"/>
    <s v="No"/>
    <s v="Mailed check"/>
    <n v="73.48"/>
    <n v="387.59"/>
    <x v="0"/>
    <x v="2"/>
  </r>
  <r>
    <x v="965"/>
    <s v="Male"/>
    <x v="1"/>
    <s v="No"/>
    <s v="No"/>
    <n v="69"/>
    <s v="Month-to-month"/>
    <s v="Fiber optic"/>
    <s v="Electronic check"/>
    <n v="64.819999999999993"/>
    <n v="4391.22"/>
    <x v="0"/>
    <x v="1"/>
  </r>
  <r>
    <x v="966"/>
    <s v="Male"/>
    <x v="0"/>
    <s v="Yes"/>
    <s v="No"/>
    <n v="58"/>
    <s v="Month-to-month"/>
    <s v="Fiber optic"/>
    <s v="Bank transfer"/>
    <n v="65.180000000000007"/>
    <n v="3739.96"/>
    <x v="0"/>
    <x v="0"/>
  </r>
  <r>
    <x v="967"/>
    <s v="Female"/>
    <x v="0"/>
    <s v="No"/>
    <s v="No"/>
    <n v="63"/>
    <s v="Two year"/>
    <s v="DSL"/>
    <s v="Electronic check"/>
    <n v="104.23"/>
    <n v="6578.54"/>
    <x v="0"/>
    <x v="1"/>
  </r>
  <r>
    <x v="968"/>
    <s v="Female"/>
    <x v="0"/>
    <s v="No"/>
    <s v="No"/>
    <n v="17"/>
    <s v="Month-to-month"/>
    <s v="No"/>
    <s v="Bank transfer"/>
    <n v="53.02"/>
    <n v="961.02"/>
    <x v="1"/>
    <x v="3"/>
  </r>
  <r>
    <x v="969"/>
    <s v="Male"/>
    <x v="0"/>
    <s v="No"/>
    <s v="No"/>
    <n v="3"/>
    <s v="Month-to-month"/>
    <s v="DSL"/>
    <s v="Bank transfer"/>
    <n v="82.73"/>
    <n v="196.28"/>
    <x v="0"/>
    <x v="2"/>
  </r>
  <r>
    <x v="970"/>
    <s v="Female"/>
    <x v="0"/>
    <s v="No"/>
    <s v="No"/>
    <n v="16"/>
    <s v="Two year"/>
    <s v="Fiber optic"/>
    <s v="Bank transfer"/>
    <n v="92.54"/>
    <n v="1417.2"/>
    <x v="0"/>
    <x v="3"/>
  </r>
  <r>
    <x v="971"/>
    <s v="Male"/>
    <x v="0"/>
    <s v="No"/>
    <s v="Yes"/>
    <n v="13"/>
    <s v="One year"/>
    <s v="DSL"/>
    <s v="Bank transfer"/>
    <n v="40.049999999999997"/>
    <n v="673.65"/>
    <x v="0"/>
    <x v="3"/>
  </r>
  <r>
    <x v="972"/>
    <s v="Male"/>
    <x v="0"/>
    <s v="Yes"/>
    <s v="No"/>
    <n v="12"/>
    <s v="One year"/>
    <s v="Fiber optic"/>
    <s v="Mailed check"/>
    <n v="60.98"/>
    <n v="709.84"/>
    <x v="0"/>
    <x v="2"/>
  </r>
  <r>
    <x v="973"/>
    <s v="Male"/>
    <x v="0"/>
    <s v="Yes"/>
    <s v="No"/>
    <n v="6"/>
    <s v="Two year"/>
    <s v="DSL"/>
    <s v="Electronic check"/>
    <n v="79.38"/>
    <n v="496.23"/>
    <x v="0"/>
    <x v="2"/>
  </r>
  <r>
    <x v="974"/>
    <s v="Female"/>
    <x v="0"/>
    <s v="No"/>
    <s v="No"/>
    <n v="43"/>
    <s v="Month-to-month"/>
    <s v="Fiber optic"/>
    <s v="Credit card"/>
    <n v="28.32"/>
    <n v="1269.6300000000001"/>
    <x v="0"/>
    <x v="5"/>
  </r>
  <r>
    <x v="975"/>
    <s v="Female"/>
    <x v="0"/>
    <s v="Yes"/>
    <s v="Yes"/>
    <n v="14"/>
    <s v="One year"/>
    <s v="DSL"/>
    <s v="Electronic check"/>
    <n v="64.72"/>
    <n v="763.13"/>
    <x v="0"/>
    <x v="3"/>
  </r>
  <r>
    <x v="976"/>
    <s v="Female"/>
    <x v="0"/>
    <s v="Yes"/>
    <s v="No"/>
    <n v="18"/>
    <s v="Month-to-month"/>
    <s v="DSL"/>
    <s v="Mailed check"/>
    <n v="48.37"/>
    <n v="869.18"/>
    <x v="0"/>
    <x v="3"/>
  </r>
  <r>
    <x v="977"/>
    <s v="Female"/>
    <x v="0"/>
    <s v="No"/>
    <s v="Yes"/>
    <n v="62"/>
    <s v="Two year"/>
    <s v="Fiber optic"/>
    <s v="Mailed check"/>
    <n v="107.76"/>
    <n v="6549.46"/>
    <x v="0"/>
    <x v="1"/>
  </r>
  <r>
    <x v="978"/>
    <s v="Female"/>
    <x v="0"/>
    <s v="Yes"/>
    <s v="No"/>
    <n v="34"/>
    <s v="Month-to-month"/>
    <s v="No"/>
    <s v="Credit card"/>
    <n v="63.65"/>
    <n v="2153.64"/>
    <x v="0"/>
    <x v="4"/>
  </r>
  <r>
    <x v="979"/>
    <s v="Female"/>
    <x v="0"/>
    <s v="No"/>
    <s v="No"/>
    <n v="34"/>
    <s v="One year"/>
    <s v="No"/>
    <s v="Mailed check"/>
    <n v="84.78"/>
    <n v="2992.37"/>
    <x v="0"/>
    <x v="4"/>
  </r>
  <r>
    <x v="980"/>
    <s v="Female"/>
    <x v="0"/>
    <s v="No"/>
    <s v="No"/>
    <n v="18"/>
    <s v="Month-to-month"/>
    <s v="DSL"/>
    <s v="Mailed check"/>
    <n v="69.02"/>
    <n v="1162.48"/>
    <x v="0"/>
    <x v="3"/>
  </r>
  <r>
    <x v="981"/>
    <s v="Female"/>
    <x v="1"/>
    <s v="Yes"/>
    <s v="Yes"/>
    <n v="19"/>
    <s v="Month-to-month"/>
    <s v="Fiber optic"/>
    <s v="Bank transfer"/>
    <n v="77.150000000000006"/>
    <n v="1332.54"/>
    <x v="0"/>
    <x v="3"/>
  </r>
  <r>
    <x v="982"/>
    <s v="Female"/>
    <x v="0"/>
    <s v="No"/>
    <s v="No"/>
    <n v="34"/>
    <s v="One year"/>
    <s v="Fiber optic"/>
    <s v="Bank transfer"/>
    <n v="72.38"/>
    <n v="2611.9299999999998"/>
    <x v="0"/>
    <x v="4"/>
  </r>
  <r>
    <x v="983"/>
    <s v="Male"/>
    <x v="1"/>
    <s v="No"/>
    <s v="No"/>
    <n v="31"/>
    <s v="One year"/>
    <s v="DSL"/>
    <s v="Electronic check"/>
    <n v="57.42"/>
    <n v="1688.26"/>
    <x v="0"/>
    <x v="4"/>
  </r>
  <r>
    <x v="984"/>
    <s v="Female"/>
    <x v="0"/>
    <s v="No"/>
    <s v="No"/>
    <n v="47"/>
    <s v="One year"/>
    <s v="DSL"/>
    <s v="Mailed check"/>
    <n v="137.12"/>
    <n v="6324.75"/>
    <x v="0"/>
    <x v="5"/>
  </r>
  <r>
    <x v="985"/>
    <s v="Female"/>
    <x v="0"/>
    <s v="No"/>
    <s v="No"/>
    <n v="43"/>
    <s v="Month-to-month"/>
    <s v="Fiber optic"/>
    <s v="Bank transfer"/>
    <n v="100.18"/>
    <n v="4437.26"/>
    <x v="0"/>
    <x v="5"/>
  </r>
  <r>
    <x v="986"/>
    <s v="Female"/>
    <x v="0"/>
    <s v="No"/>
    <s v="Yes"/>
    <n v="23"/>
    <s v="Month-to-month"/>
    <s v="No"/>
    <s v="Credit card"/>
    <n v="28.35"/>
    <n v="557.13"/>
    <x v="0"/>
    <x v="3"/>
  </r>
  <r>
    <x v="987"/>
    <s v="Female"/>
    <x v="0"/>
    <s v="Yes"/>
    <s v="No"/>
    <n v="60"/>
    <s v="One year"/>
    <s v="Fiber optic"/>
    <s v="Bank transfer"/>
    <n v="140"/>
    <n v="8531.59"/>
    <x v="0"/>
    <x v="0"/>
  </r>
  <r>
    <x v="988"/>
    <s v="Female"/>
    <x v="0"/>
    <s v="Yes"/>
    <s v="No"/>
    <n v="16"/>
    <s v="Two year"/>
    <s v="Fiber optic"/>
    <s v="Mailed check"/>
    <n v="69.88"/>
    <n v="1140.01"/>
    <x v="0"/>
    <x v="3"/>
  </r>
  <r>
    <x v="989"/>
    <s v="Female"/>
    <x v="0"/>
    <s v="No"/>
    <s v="No"/>
    <n v="70"/>
    <s v="One year"/>
    <s v="Fiber optic"/>
    <s v="Electronic check"/>
    <n v="88.03"/>
    <n v="6264.82"/>
    <x v="0"/>
    <x v="1"/>
  </r>
  <r>
    <x v="990"/>
    <s v="Female"/>
    <x v="0"/>
    <s v="No"/>
    <s v="Yes"/>
    <n v="49"/>
    <s v="Two year"/>
    <s v="DSL"/>
    <s v="Credit card"/>
    <n v="93.49"/>
    <n v="4595.8999999999996"/>
    <x v="0"/>
    <x v="0"/>
  </r>
  <r>
    <x v="991"/>
    <s v="Female"/>
    <x v="0"/>
    <s v="Yes"/>
    <s v="No"/>
    <n v="64"/>
    <s v="Two year"/>
    <s v="Fiber optic"/>
    <s v="Credit card"/>
    <n v="41.55"/>
    <n v="2745.58"/>
    <x v="0"/>
    <x v="1"/>
  </r>
  <r>
    <x v="992"/>
    <s v="Female"/>
    <x v="0"/>
    <s v="No"/>
    <s v="No"/>
    <n v="31"/>
    <s v="One year"/>
    <s v="Fiber optic"/>
    <s v="Electronic check"/>
    <n v="59.32"/>
    <n v="1765.44"/>
    <x v="0"/>
    <x v="4"/>
  </r>
  <r>
    <x v="993"/>
    <s v="Female"/>
    <x v="1"/>
    <s v="Yes"/>
    <s v="No"/>
    <n v="35"/>
    <s v="One year"/>
    <s v="DSL"/>
    <s v="Electronic check"/>
    <n v="111.2"/>
    <n v="3842.91"/>
    <x v="0"/>
    <x v="4"/>
  </r>
  <r>
    <x v="994"/>
    <s v="Female"/>
    <x v="0"/>
    <s v="No"/>
    <s v="Yes"/>
    <n v="12"/>
    <s v="Two year"/>
    <s v="No"/>
    <s v="Bank transfer"/>
    <n v="49.38"/>
    <n v="423.32"/>
    <x v="0"/>
    <x v="2"/>
  </r>
  <r>
    <x v="995"/>
    <s v="Male"/>
    <x v="0"/>
    <s v="No"/>
    <s v="No"/>
    <n v="69"/>
    <s v="One year"/>
    <s v="DSL"/>
    <s v="Electronic check"/>
    <n v="94.97"/>
    <n v="6630.67"/>
    <x v="0"/>
    <x v="1"/>
  </r>
  <r>
    <x v="996"/>
    <s v="Male"/>
    <x v="0"/>
    <s v="No"/>
    <s v="Yes"/>
    <n v="57"/>
    <s v="Two year"/>
    <s v="No"/>
    <s v="Electronic check"/>
    <n v="43.66"/>
    <n v="2522.19"/>
    <x v="0"/>
    <x v="0"/>
  </r>
  <r>
    <x v="997"/>
    <s v="Female"/>
    <x v="0"/>
    <s v="No"/>
    <s v="No"/>
    <n v="13"/>
    <s v="One year"/>
    <s v="Fiber optic"/>
    <s v="Electronic check"/>
    <n v="77.62"/>
    <n v="928.47"/>
    <x v="1"/>
    <x v="3"/>
  </r>
  <r>
    <x v="998"/>
    <s v="Female"/>
    <x v="0"/>
    <s v="No"/>
    <s v="Yes"/>
    <n v="36"/>
    <s v="One year"/>
    <s v="DSL"/>
    <s v="Electronic check"/>
    <n v="114.63"/>
    <n v="3986.77"/>
    <x v="0"/>
    <x v="4"/>
  </r>
  <r>
    <x v="999"/>
    <s v="Male"/>
    <x v="0"/>
    <s v="No"/>
    <s v="No"/>
    <n v="67"/>
    <s v="Month-to-month"/>
    <s v="Fiber optic"/>
    <s v="Mailed check"/>
    <n v="90.94"/>
    <n v="6115.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FC764-28D0-4FF2-AA40-B733A32F66CA}" name="PivotTable1" cacheId="30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C5" firstHeaderRow="1" firstDataRow="2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11"/>
  </colFields>
  <colItems count="2">
    <i>
      <x/>
    </i>
    <i>
      <x v="1"/>
    </i>
  </colItems>
  <dataFields count="1">
    <dataField name="Count of Customer_ID" fld="0" subtotal="count" baseField="0" baseItem="0"/>
  </dataFields>
  <formats count="8"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11" type="button" dataOnly="0" labelOnly="1" outline="0" axis="axisCol" fieldPosition="0"/>
    </format>
    <format dxfId="34">
      <pivotArea type="topRight" dataOnly="0" labelOnly="1" outline="0" fieldPosition="0"/>
    </format>
    <format dxfId="35">
      <pivotArea field="6" type="button" dataOnly="0" labelOnly="1" outline="0" axis="axisRow" fieldPosition="0"/>
    </format>
    <format dxfId="36">
      <pivotArea dataOnly="0" labelOnly="1" outline="0" fieldPosition="0">
        <references count="1">
          <reference field="6" count="0"/>
        </references>
      </pivotArea>
    </format>
    <format dxfId="37">
      <pivotArea dataOnly="0" labelOnly="1" outline="0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E03E6-A221-4929-83FA-3BCD0304D7BE}" name="PivotTable4" cacheId="30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M3:O11" firstHeaderRow="1" firstDataRow="2" firstDataCol="1"/>
  <pivotFields count="13">
    <pivotField dataField="1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8">
        <item x="6"/>
        <item x="2"/>
        <item x="3"/>
        <item x="4"/>
        <item x="5"/>
        <item x="0"/>
        <item x="1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1"/>
  </colFields>
  <colItems count="2">
    <i>
      <x/>
    </i>
    <i>
      <x v="1"/>
    </i>
  </colItems>
  <dataFields count="1">
    <dataField name="Count of Customer_ID" fld="0" subtotal="count" baseField="0" baseItem="0"/>
  </dataFields>
  <formats count="8"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field="11" type="button" dataOnly="0" labelOnly="1" outline="0" axis="axisCol" fieldPosition="0"/>
    </format>
    <format dxfId="26">
      <pivotArea type="topRight" dataOnly="0" labelOnly="1" outline="0" fieldPosition="0"/>
    </format>
    <format dxfId="27">
      <pivotArea field="12" type="button" dataOnly="0" labelOnly="1" outline="0" axis="axisRow" fieldPosition="0"/>
    </format>
    <format dxfId="28">
      <pivotArea dataOnly="0" labelOnly="1" outline="0" fieldPosition="0">
        <references count="1">
          <reference field="12" count="0"/>
        </references>
      </pivotArea>
    </format>
    <format dxfId="29">
      <pivotArea dataOnly="0" labelOnly="1" outline="0" fieldPosition="0">
        <references count="1">
          <reference field="11" count="0"/>
        </references>
      </pivotArea>
    </format>
  </formats>
  <chartFormats count="1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B390D-8F64-450A-9D29-0793168B7CE4}" name="PivotTable5" cacheId="30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Q1:S4" firstHeaderRow="1" firstDataRow="2" firstDataCol="1"/>
  <pivotFields count="13"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2"/>
  </rowFields>
  <rowItems count="2">
    <i>
      <x/>
    </i>
    <i>
      <x v="1"/>
    </i>
  </rowItems>
  <colFields count="1">
    <field x="11"/>
  </colFields>
  <colItems count="2">
    <i>
      <x/>
    </i>
    <i>
      <x v="1"/>
    </i>
  </colItems>
  <dataFields count="1">
    <dataField name="Count of Customer_ID" fld="0" subtotal="count" baseField="0" baseItem="0"/>
  </dataFields>
  <formats count="8"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11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outline="0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1C5D5-6149-44AB-A679-93564A5CC2F8}" name="PivotTable3" cacheId="30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I1:K6" firstHeaderRow="1" firstDataRow="2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>
      <x v="3"/>
    </i>
  </rowItems>
  <colFields count="1">
    <field x="11"/>
  </colFields>
  <colItems count="2">
    <i>
      <x/>
    </i>
    <i>
      <x v="1"/>
    </i>
  </colItems>
  <dataFields count="1">
    <dataField name="Count of Customer_ID" fld="0" subtotal="count" baseField="0" baseItem="0"/>
  </dataFields>
  <formats count="7">
    <format dxfId="7">
      <pivotArea type="all" dataOnly="0" outline="0" fieldPosition="0"/>
    </format>
    <format dxfId="8">
      <pivotArea outline="0" collapsedLevelsAreSubtotals="1" fieldPosition="0"/>
    </format>
    <format dxfId="9">
      <pivotArea type="origin" dataOnly="0" labelOnly="1" outline="0" fieldPosition="0"/>
    </format>
    <format dxfId="10">
      <pivotArea field="11" type="button" dataOnly="0" labelOnly="1" outline="0" axis="axisCol" fieldPosition="0"/>
    </format>
    <format dxfId="11">
      <pivotArea type="topRight" dataOnly="0" labelOnly="1" outline="0" fieldPosition="0"/>
    </format>
    <format dxfId="12">
      <pivotArea field="6" type="button" dataOnly="0" labelOnly="1" outline="0"/>
    </format>
    <format dxfId="13">
      <pivotArea dataOnly="0" labelOnly="1" outline="0" fieldPosition="0">
        <references count="1">
          <reference field="11" count="0"/>
        </references>
      </pivotArea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E54DC-AC77-4972-8AB2-26670565442F}" name="PivotTable2" cacheId="30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E1:G5" firstHeaderRow="1" firstDataRow="2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>
      <x v="2"/>
    </i>
  </rowItems>
  <colFields count="1">
    <field x="11"/>
  </colFields>
  <colItems count="2">
    <i>
      <x/>
    </i>
    <i>
      <x v="1"/>
    </i>
  </colItems>
  <dataFields count="1">
    <dataField name="Count of Customer_ID" fld="0" subtotal="count" baseField="0" baseItem="0"/>
  </dataFields>
  <formats count="7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1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/>
    </format>
    <format dxfId="6">
      <pivotArea dataOnly="0" labelOnly="1" outline="0" fieldPosition="0">
        <references count="1">
          <reference field="11" count="0"/>
        </references>
      </pivotArea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pane ySplit="1" topLeftCell="A2" activePane="bottomLeft" state="frozen"/>
      <selection pane="bottomLeft" activeCell="A2" sqref="A1:M1001"/>
    </sheetView>
  </sheetViews>
  <sheetFormatPr defaultRowHeight="15"/>
  <cols>
    <col min="1" max="1" width="15" customWidth="1"/>
    <col min="2" max="2" width="12" customWidth="1"/>
    <col min="3" max="3" width="17" customWidth="1"/>
    <col min="4" max="5" width="12" customWidth="1"/>
    <col min="6" max="6" width="16" customWidth="1"/>
    <col min="7" max="8" width="18" customWidth="1"/>
    <col min="9" max="9" width="20" customWidth="1"/>
    <col min="10" max="10" width="17" customWidth="1"/>
    <col min="11" max="11" width="16" customWidth="1"/>
    <col min="12" max="12" width="10" customWidth="1"/>
    <col min="13" max="13" width="13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>
        <v>56</v>
      </c>
      <c r="G2" t="s">
        <v>17</v>
      </c>
      <c r="H2" t="s">
        <v>18</v>
      </c>
      <c r="I2" t="s">
        <v>19</v>
      </c>
      <c r="J2">
        <v>58.41</v>
      </c>
      <c r="K2">
        <v>3292.87</v>
      </c>
      <c r="L2" t="s">
        <v>15</v>
      </c>
      <c r="M2" t="str">
        <f>IF(F2=0,"Just signed",IF(F2&lt;=12,"Up to 1 year",IF(F2&lt;=24,"1 to 2 years",IF(F2&lt;=36,"2 to 3 years",IF(F2&lt;=48,"3 to 4 years",IF(F2&lt;=60,"4 to 5 years","5 to 6 years"))))))</f>
        <v>4 to 5 years</v>
      </c>
    </row>
    <row r="3" spans="1:13">
      <c r="A3" t="s">
        <v>20</v>
      </c>
      <c r="B3" t="s">
        <v>21</v>
      </c>
      <c r="C3" t="s">
        <v>15</v>
      </c>
      <c r="D3" t="s">
        <v>15</v>
      </c>
      <c r="E3" t="s">
        <v>16</v>
      </c>
      <c r="F3">
        <v>71</v>
      </c>
      <c r="G3" t="s">
        <v>22</v>
      </c>
      <c r="H3" t="s">
        <v>15</v>
      </c>
      <c r="I3" t="s">
        <v>23</v>
      </c>
      <c r="J3">
        <v>85.7</v>
      </c>
      <c r="K3">
        <v>5869.62</v>
      </c>
      <c r="L3" t="s">
        <v>15</v>
      </c>
      <c r="M3" t="str">
        <f t="shared" ref="M3:M18" si="0">IF(F3=0,"Just signed",IF(F3&lt;=12,"Up to 1 year",IF(F3&lt;=24,"1 to 2 years",IF(F3&lt;=36,"2 to 3 years",IF(F3&lt;=48,"3 to 4 years",IF(F3&lt;=60,"4 to 5 years","5 to 6 years"))))))</f>
        <v>5 to 6 years</v>
      </c>
    </row>
    <row r="4" spans="1:13">
      <c r="A4" t="s">
        <v>24</v>
      </c>
      <c r="B4" t="s">
        <v>14</v>
      </c>
      <c r="C4" t="s">
        <v>15</v>
      </c>
      <c r="D4" t="s">
        <v>15</v>
      </c>
      <c r="E4" t="s">
        <v>15</v>
      </c>
      <c r="F4">
        <v>6</v>
      </c>
      <c r="G4" t="s">
        <v>25</v>
      </c>
      <c r="H4" t="s">
        <v>18</v>
      </c>
      <c r="I4" t="s">
        <v>26</v>
      </c>
      <c r="J4">
        <v>49.77</v>
      </c>
      <c r="K4">
        <v>250.5</v>
      </c>
      <c r="L4" t="s">
        <v>15</v>
      </c>
      <c r="M4" t="str">
        <f t="shared" si="0"/>
        <v>Up to 1 year</v>
      </c>
    </row>
    <row r="5" spans="1:13">
      <c r="A5" t="s">
        <v>27</v>
      </c>
      <c r="B5" t="s">
        <v>14</v>
      </c>
      <c r="C5" t="s">
        <v>15</v>
      </c>
      <c r="D5" t="s">
        <v>15</v>
      </c>
      <c r="E5" t="s">
        <v>16</v>
      </c>
      <c r="F5">
        <v>55</v>
      </c>
      <c r="G5" t="s">
        <v>22</v>
      </c>
      <c r="H5" t="s">
        <v>18</v>
      </c>
      <c r="I5" t="s">
        <v>26</v>
      </c>
      <c r="J5">
        <v>55.91</v>
      </c>
      <c r="K5">
        <v>3118.56</v>
      </c>
      <c r="L5" t="s">
        <v>15</v>
      </c>
      <c r="M5" t="str">
        <f t="shared" si="0"/>
        <v>4 to 5 years</v>
      </c>
    </row>
    <row r="6" spans="1:13">
      <c r="A6" t="s">
        <v>28</v>
      </c>
      <c r="B6" t="s">
        <v>14</v>
      </c>
      <c r="C6" t="s">
        <v>15</v>
      </c>
      <c r="D6" t="s">
        <v>16</v>
      </c>
      <c r="E6" t="s">
        <v>16</v>
      </c>
      <c r="F6">
        <v>66</v>
      </c>
      <c r="G6" t="s">
        <v>22</v>
      </c>
      <c r="H6" t="s">
        <v>15</v>
      </c>
      <c r="I6" t="s">
        <v>26</v>
      </c>
      <c r="J6">
        <v>21.69</v>
      </c>
      <c r="K6">
        <v>1521.16</v>
      </c>
      <c r="L6" t="s">
        <v>15</v>
      </c>
      <c r="M6" t="str">
        <f t="shared" si="0"/>
        <v>5 to 6 years</v>
      </c>
    </row>
    <row r="7" spans="1:13">
      <c r="A7" t="s">
        <v>29</v>
      </c>
      <c r="B7" t="s">
        <v>21</v>
      </c>
      <c r="C7" t="s">
        <v>15</v>
      </c>
      <c r="D7" t="s">
        <v>16</v>
      </c>
      <c r="E7" t="s">
        <v>15</v>
      </c>
      <c r="F7">
        <v>15</v>
      </c>
      <c r="G7" t="s">
        <v>22</v>
      </c>
      <c r="H7" t="s">
        <v>18</v>
      </c>
      <c r="I7" t="s">
        <v>23</v>
      </c>
      <c r="J7">
        <v>77.73</v>
      </c>
      <c r="K7">
        <v>1203.77</v>
      </c>
      <c r="L7" t="s">
        <v>15</v>
      </c>
      <c r="M7" t="str">
        <f t="shared" si="0"/>
        <v>1 to 2 years</v>
      </c>
    </row>
    <row r="8" spans="1:13">
      <c r="A8" t="s">
        <v>30</v>
      </c>
      <c r="B8" t="s">
        <v>14</v>
      </c>
      <c r="C8" t="s">
        <v>15</v>
      </c>
      <c r="D8" t="s">
        <v>15</v>
      </c>
      <c r="E8" t="s">
        <v>15</v>
      </c>
      <c r="F8">
        <v>50</v>
      </c>
      <c r="G8" t="s">
        <v>17</v>
      </c>
      <c r="H8" t="s">
        <v>18</v>
      </c>
      <c r="I8" t="s">
        <v>19</v>
      </c>
      <c r="J8">
        <v>127.14</v>
      </c>
      <c r="K8">
        <v>6245.77</v>
      </c>
      <c r="L8" t="s">
        <v>15</v>
      </c>
      <c r="M8" t="str">
        <f t="shared" si="0"/>
        <v>4 to 5 years</v>
      </c>
    </row>
    <row r="9" spans="1:13">
      <c r="A9" t="s">
        <v>31</v>
      </c>
      <c r="B9" t="s">
        <v>14</v>
      </c>
      <c r="C9" t="s">
        <v>15</v>
      </c>
      <c r="D9" t="s">
        <v>16</v>
      </c>
      <c r="E9" t="s">
        <v>15</v>
      </c>
      <c r="F9">
        <v>71</v>
      </c>
      <c r="G9" t="s">
        <v>22</v>
      </c>
      <c r="H9" t="s">
        <v>18</v>
      </c>
      <c r="I9" t="s">
        <v>23</v>
      </c>
      <c r="J9">
        <v>76.680000000000007</v>
      </c>
      <c r="K9">
        <v>5526.91</v>
      </c>
      <c r="L9" t="s">
        <v>15</v>
      </c>
      <c r="M9" t="str">
        <f t="shared" si="0"/>
        <v>5 to 6 years</v>
      </c>
    </row>
    <row r="10" spans="1:13">
      <c r="A10" t="s">
        <v>32</v>
      </c>
      <c r="B10" t="s">
        <v>14</v>
      </c>
      <c r="C10" t="s">
        <v>15</v>
      </c>
      <c r="D10" t="s">
        <v>15</v>
      </c>
      <c r="E10" t="s">
        <v>16</v>
      </c>
      <c r="F10">
        <v>11</v>
      </c>
      <c r="G10" t="s">
        <v>22</v>
      </c>
      <c r="H10" t="s">
        <v>18</v>
      </c>
      <c r="I10" t="s">
        <v>26</v>
      </c>
      <c r="J10">
        <v>81.67</v>
      </c>
      <c r="K10">
        <v>807.24</v>
      </c>
      <c r="L10" t="s">
        <v>16</v>
      </c>
      <c r="M10" t="str">
        <f t="shared" si="0"/>
        <v>Up to 1 year</v>
      </c>
    </row>
    <row r="11" spans="1:13">
      <c r="A11" t="s">
        <v>33</v>
      </c>
      <c r="B11" t="s">
        <v>21</v>
      </c>
      <c r="C11" t="s">
        <v>15</v>
      </c>
      <c r="D11" t="s">
        <v>16</v>
      </c>
      <c r="E11" t="s">
        <v>15</v>
      </c>
      <c r="F11">
        <v>52</v>
      </c>
      <c r="G11" t="s">
        <v>25</v>
      </c>
      <c r="H11" t="s">
        <v>34</v>
      </c>
      <c r="I11" t="s">
        <v>23</v>
      </c>
      <c r="J11">
        <v>50.11</v>
      </c>
      <c r="K11">
        <v>2654.86</v>
      </c>
      <c r="L11" t="s">
        <v>15</v>
      </c>
      <c r="M11" t="str">
        <f t="shared" si="0"/>
        <v>4 to 5 years</v>
      </c>
    </row>
    <row r="12" spans="1:13">
      <c r="A12" t="s">
        <v>35</v>
      </c>
      <c r="B12" t="s">
        <v>14</v>
      </c>
      <c r="C12" t="s">
        <v>15</v>
      </c>
      <c r="D12" t="s">
        <v>15</v>
      </c>
      <c r="E12" t="s">
        <v>16</v>
      </c>
      <c r="F12">
        <v>4</v>
      </c>
      <c r="G12" t="s">
        <v>22</v>
      </c>
      <c r="H12" t="s">
        <v>18</v>
      </c>
      <c r="I12" t="s">
        <v>36</v>
      </c>
      <c r="J12">
        <v>78.459999999999994</v>
      </c>
      <c r="K12">
        <v>225.37</v>
      </c>
      <c r="L12" t="s">
        <v>16</v>
      </c>
      <c r="M12" t="str">
        <f t="shared" si="0"/>
        <v>Up to 1 year</v>
      </c>
    </row>
    <row r="13" spans="1:13">
      <c r="A13" t="s">
        <v>37</v>
      </c>
      <c r="B13" t="s">
        <v>14</v>
      </c>
      <c r="C13" t="s">
        <v>15</v>
      </c>
      <c r="D13" t="s">
        <v>15</v>
      </c>
      <c r="E13" t="s">
        <v>16</v>
      </c>
      <c r="F13">
        <v>26</v>
      </c>
      <c r="G13" t="s">
        <v>22</v>
      </c>
      <c r="H13" t="s">
        <v>18</v>
      </c>
      <c r="I13" t="s">
        <v>26</v>
      </c>
      <c r="J13">
        <v>110.73</v>
      </c>
      <c r="K13">
        <v>2817.12</v>
      </c>
      <c r="L13" t="s">
        <v>15</v>
      </c>
      <c r="M13" t="str">
        <f t="shared" si="0"/>
        <v>2 to 3 years</v>
      </c>
    </row>
    <row r="14" spans="1:13">
      <c r="A14" t="s">
        <v>38</v>
      </c>
      <c r="B14" t="s">
        <v>14</v>
      </c>
      <c r="C14" t="s">
        <v>15</v>
      </c>
      <c r="D14" t="s">
        <v>16</v>
      </c>
      <c r="E14" t="s">
        <v>15</v>
      </c>
      <c r="F14">
        <v>11</v>
      </c>
      <c r="G14" t="s">
        <v>25</v>
      </c>
      <c r="H14" t="s">
        <v>18</v>
      </c>
      <c r="I14" t="s">
        <v>19</v>
      </c>
      <c r="J14">
        <v>83.57</v>
      </c>
      <c r="K14">
        <v>842.76</v>
      </c>
      <c r="L14" t="s">
        <v>16</v>
      </c>
      <c r="M14" t="str">
        <f t="shared" si="0"/>
        <v>Up to 1 year</v>
      </c>
    </row>
    <row r="15" spans="1:13">
      <c r="A15" t="s">
        <v>39</v>
      </c>
      <c r="B15" t="s">
        <v>14</v>
      </c>
      <c r="C15" t="s">
        <v>15</v>
      </c>
      <c r="D15" t="s">
        <v>16</v>
      </c>
      <c r="E15" t="s">
        <v>16</v>
      </c>
      <c r="F15">
        <v>16</v>
      </c>
      <c r="G15" t="s">
        <v>22</v>
      </c>
      <c r="H15" t="s">
        <v>18</v>
      </c>
      <c r="I15" t="s">
        <v>19</v>
      </c>
      <c r="J15">
        <v>133.29</v>
      </c>
      <c r="K15">
        <v>2143.7600000000002</v>
      </c>
      <c r="L15" t="s">
        <v>15</v>
      </c>
      <c r="M15" t="str">
        <f t="shared" si="0"/>
        <v>1 to 2 years</v>
      </c>
    </row>
    <row r="16" spans="1:13">
      <c r="A16" t="s">
        <v>40</v>
      </c>
      <c r="B16" t="s">
        <v>21</v>
      </c>
      <c r="C16" t="s">
        <v>16</v>
      </c>
      <c r="D16" t="s">
        <v>15</v>
      </c>
      <c r="E16" t="s">
        <v>15</v>
      </c>
      <c r="F16">
        <v>5</v>
      </c>
      <c r="G16" t="s">
        <v>22</v>
      </c>
      <c r="H16" t="s">
        <v>18</v>
      </c>
      <c r="I16" t="s">
        <v>23</v>
      </c>
      <c r="J16">
        <v>111.49</v>
      </c>
      <c r="K16">
        <v>541.80999999999995</v>
      </c>
      <c r="L16" t="s">
        <v>16</v>
      </c>
      <c r="M16" t="str">
        <f t="shared" si="0"/>
        <v>Up to 1 year</v>
      </c>
    </row>
    <row r="17" spans="1:13">
      <c r="A17" t="s">
        <v>41</v>
      </c>
      <c r="B17" t="s">
        <v>14</v>
      </c>
      <c r="C17" t="s">
        <v>16</v>
      </c>
      <c r="D17" t="s">
        <v>15</v>
      </c>
      <c r="E17" t="s">
        <v>15</v>
      </c>
      <c r="F17">
        <v>4</v>
      </c>
      <c r="G17" t="s">
        <v>22</v>
      </c>
      <c r="H17" t="s">
        <v>34</v>
      </c>
      <c r="I17" t="s">
        <v>23</v>
      </c>
      <c r="J17">
        <v>67.84</v>
      </c>
      <c r="K17">
        <v>312.07</v>
      </c>
      <c r="L17" t="s">
        <v>16</v>
      </c>
      <c r="M17" t="str">
        <f t="shared" si="0"/>
        <v>Up to 1 year</v>
      </c>
    </row>
    <row r="18" spans="1:13">
      <c r="A18" t="s">
        <v>42</v>
      </c>
      <c r="B18" t="s">
        <v>21</v>
      </c>
      <c r="C18" t="s">
        <v>15</v>
      </c>
      <c r="D18" t="s">
        <v>16</v>
      </c>
      <c r="E18" t="s">
        <v>15</v>
      </c>
      <c r="F18">
        <v>56</v>
      </c>
      <c r="G18" t="s">
        <v>22</v>
      </c>
      <c r="H18" t="s">
        <v>18</v>
      </c>
      <c r="I18" t="s">
        <v>36</v>
      </c>
      <c r="J18">
        <v>77.36</v>
      </c>
      <c r="K18">
        <v>4330.67</v>
      </c>
      <c r="L18" t="s">
        <v>15</v>
      </c>
      <c r="M18" t="str">
        <f t="shared" si="0"/>
        <v>4 to 5 years</v>
      </c>
    </row>
    <row r="19" spans="1:13">
      <c r="A19" t="s">
        <v>43</v>
      </c>
      <c r="B19" t="s">
        <v>21</v>
      </c>
      <c r="C19" t="s">
        <v>15</v>
      </c>
      <c r="D19" t="s">
        <v>16</v>
      </c>
      <c r="E19" t="s">
        <v>15</v>
      </c>
      <c r="F19">
        <v>27</v>
      </c>
      <c r="G19" t="s">
        <v>22</v>
      </c>
      <c r="H19" t="s">
        <v>34</v>
      </c>
      <c r="I19" t="s">
        <v>36</v>
      </c>
      <c r="J19">
        <v>110.77</v>
      </c>
      <c r="K19">
        <v>2869.36</v>
      </c>
      <c r="L19" t="s">
        <v>15</v>
      </c>
      <c r="M19" t="str">
        <f t="shared" ref="M3:M66" si="1">IF(F19=0,"Just signed",IF(F19&lt;=12,"Up to 1 year",IF(F19&lt;=24,"1 to 2 years",IF(F19&lt;=36,"2 to 3 years",IF(F19&lt;=48,"3 to 4 years",IF(F19&lt;=60,"4 to 5 years","5 to 6 years"))))))</f>
        <v>2 to 3 years</v>
      </c>
    </row>
    <row r="20" spans="1:13">
      <c r="A20" t="s">
        <v>44</v>
      </c>
      <c r="B20" t="s">
        <v>21</v>
      </c>
      <c r="C20" t="s">
        <v>15</v>
      </c>
      <c r="D20" t="s">
        <v>15</v>
      </c>
      <c r="E20" t="s">
        <v>16</v>
      </c>
      <c r="F20">
        <v>68</v>
      </c>
      <c r="G20" t="s">
        <v>22</v>
      </c>
      <c r="H20" t="s">
        <v>18</v>
      </c>
      <c r="I20" t="s">
        <v>23</v>
      </c>
      <c r="J20">
        <v>83.43</v>
      </c>
      <c r="K20">
        <v>5695.3</v>
      </c>
      <c r="L20" t="s">
        <v>15</v>
      </c>
      <c r="M20" t="str">
        <f t="shared" si="1"/>
        <v>5 to 6 years</v>
      </c>
    </row>
    <row r="21" spans="1:13">
      <c r="A21" t="s">
        <v>45</v>
      </c>
      <c r="B21" t="s">
        <v>14</v>
      </c>
      <c r="C21" t="s">
        <v>16</v>
      </c>
      <c r="D21" t="s">
        <v>16</v>
      </c>
      <c r="E21" t="s">
        <v>15</v>
      </c>
      <c r="F21">
        <v>58</v>
      </c>
      <c r="G21" t="s">
        <v>22</v>
      </c>
      <c r="H21" t="s">
        <v>15</v>
      </c>
      <c r="I21" t="s">
        <v>26</v>
      </c>
      <c r="J21">
        <v>90.22</v>
      </c>
      <c r="K21">
        <v>5091.79</v>
      </c>
      <c r="L21" t="s">
        <v>16</v>
      </c>
      <c r="M21" t="str">
        <f t="shared" si="1"/>
        <v>4 to 5 years</v>
      </c>
    </row>
    <row r="22" spans="1:13">
      <c r="A22" t="s">
        <v>46</v>
      </c>
      <c r="B22" t="s">
        <v>21</v>
      </c>
      <c r="C22" t="s">
        <v>15</v>
      </c>
      <c r="D22" t="s">
        <v>15</v>
      </c>
      <c r="E22" t="s">
        <v>15</v>
      </c>
      <c r="F22">
        <v>32</v>
      </c>
      <c r="G22" t="s">
        <v>22</v>
      </c>
      <c r="H22" t="s">
        <v>18</v>
      </c>
      <c r="I22" t="s">
        <v>26</v>
      </c>
      <c r="J22">
        <v>130.07</v>
      </c>
      <c r="K22">
        <v>4091.53</v>
      </c>
      <c r="L22" t="s">
        <v>16</v>
      </c>
      <c r="M22" t="str">
        <f t="shared" si="1"/>
        <v>2 to 3 years</v>
      </c>
    </row>
    <row r="23" spans="1:13">
      <c r="A23" t="s">
        <v>47</v>
      </c>
      <c r="B23" t="s">
        <v>14</v>
      </c>
      <c r="C23" t="s">
        <v>15</v>
      </c>
      <c r="D23" t="s">
        <v>15</v>
      </c>
      <c r="E23" t="s">
        <v>15</v>
      </c>
      <c r="F23">
        <v>61</v>
      </c>
      <c r="G23" t="s">
        <v>17</v>
      </c>
      <c r="H23" t="s">
        <v>18</v>
      </c>
      <c r="I23" t="s">
        <v>26</v>
      </c>
      <c r="J23">
        <v>74.89</v>
      </c>
      <c r="K23">
        <v>4539.18</v>
      </c>
      <c r="L23" t="s">
        <v>15</v>
      </c>
      <c r="M23" t="str">
        <f t="shared" si="1"/>
        <v>5 to 6 years</v>
      </c>
    </row>
    <row r="24" spans="1:13">
      <c r="A24" t="s">
        <v>48</v>
      </c>
      <c r="B24" t="s">
        <v>21</v>
      </c>
      <c r="C24" t="s">
        <v>15</v>
      </c>
      <c r="D24" t="s">
        <v>15</v>
      </c>
      <c r="E24" t="s">
        <v>15</v>
      </c>
      <c r="F24">
        <v>49</v>
      </c>
      <c r="G24" t="s">
        <v>22</v>
      </c>
      <c r="H24" t="s">
        <v>34</v>
      </c>
      <c r="I24" t="s">
        <v>23</v>
      </c>
      <c r="J24">
        <v>78.8</v>
      </c>
      <c r="K24">
        <v>3826.54</v>
      </c>
      <c r="L24" t="s">
        <v>16</v>
      </c>
      <c r="M24" t="str">
        <f t="shared" si="1"/>
        <v>4 to 5 years</v>
      </c>
    </row>
    <row r="25" spans="1:13">
      <c r="A25" t="s">
        <v>49</v>
      </c>
      <c r="B25" t="s">
        <v>21</v>
      </c>
      <c r="C25" t="s">
        <v>15</v>
      </c>
      <c r="D25" t="s">
        <v>15</v>
      </c>
      <c r="E25" t="s">
        <v>16</v>
      </c>
      <c r="F25">
        <v>18</v>
      </c>
      <c r="G25" t="s">
        <v>22</v>
      </c>
      <c r="H25" t="s">
        <v>34</v>
      </c>
      <c r="I25" t="s">
        <v>23</v>
      </c>
      <c r="J25">
        <v>94.5</v>
      </c>
      <c r="K25">
        <v>1569.21</v>
      </c>
      <c r="L25" t="s">
        <v>15</v>
      </c>
      <c r="M25" t="str">
        <f t="shared" si="1"/>
        <v>1 to 2 years</v>
      </c>
    </row>
    <row r="26" spans="1:13">
      <c r="A26" t="s">
        <v>50</v>
      </c>
      <c r="B26" t="s">
        <v>21</v>
      </c>
      <c r="C26" t="s">
        <v>15</v>
      </c>
      <c r="D26" t="s">
        <v>16</v>
      </c>
      <c r="E26" t="s">
        <v>15</v>
      </c>
      <c r="F26">
        <v>68</v>
      </c>
      <c r="G26" t="s">
        <v>25</v>
      </c>
      <c r="H26" t="s">
        <v>18</v>
      </c>
      <c r="I26" t="s">
        <v>23</v>
      </c>
      <c r="J26">
        <v>99.19</v>
      </c>
      <c r="K26">
        <v>6854.61</v>
      </c>
      <c r="L26" t="s">
        <v>15</v>
      </c>
      <c r="M26" t="str">
        <f t="shared" si="1"/>
        <v>5 to 6 years</v>
      </c>
    </row>
    <row r="27" spans="1:13">
      <c r="A27" t="s">
        <v>51</v>
      </c>
      <c r="B27" t="s">
        <v>21</v>
      </c>
      <c r="C27" t="s">
        <v>15</v>
      </c>
      <c r="D27" t="s">
        <v>16</v>
      </c>
      <c r="E27" t="s">
        <v>16</v>
      </c>
      <c r="F27">
        <v>65</v>
      </c>
      <c r="G27" t="s">
        <v>17</v>
      </c>
      <c r="H27" t="s">
        <v>34</v>
      </c>
      <c r="I27" t="s">
        <v>36</v>
      </c>
      <c r="J27">
        <v>89.01</v>
      </c>
      <c r="K27">
        <v>5917.49</v>
      </c>
      <c r="L27" t="s">
        <v>15</v>
      </c>
      <c r="M27" t="str">
        <f t="shared" si="1"/>
        <v>5 to 6 years</v>
      </c>
    </row>
    <row r="28" spans="1:13">
      <c r="A28" t="s">
        <v>52</v>
      </c>
      <c r="B28" t="s">
        <v>21</v>
      </c>
      <c r="C28" t="s">
        <v>15</v>
      </c>
      <c r="D28" t="s">
        <v>16</v>
      </c>
      <c r="E28" t="s">
        <v>15</v>
      </c>
      <c r="F28">
        <v>46</v>
      </c>
      <c r="G28" t="s">
        <v>22</v>
      </c>
      <c r="H28" t="s">
        <v>18</v>
      </c>
      <c r="I28" t="s">
        <v>19</v>
      </c>
      <c r="J28">
        <v>46.66</v>
      </c>
      <c r="K28">
        <v>2326.42</v>
      </c>
      <c r="L28" t="s">
        <v>15</v>
      </c>
      <c r="M28" t="str">
        <f t="shared" si="1"/>
        <v>3 to 4 years</v>
      </c>
    </row>
    <row r="29" spans="1:13">
      <c r="A29" t="s">
        <v>53</v>
      </c>
      <c r="B29" t="s">
        <v>21</v>
      </c>
      <c r="C29" t="s">
        <v>15</v>
      </c>
      <c r="D29" t="s">
        <v>16</v>
      </c>
      <c r="E29" t="s">
        <v>15</v>
      </c>
      <c r="F29">
        <v>38</v>
      </c>
      <c r="G29" t="s">
        <v>25</v>
      </c>
      <c r="H29" t="s">
        <v>34</v>
      </c>
      <c r="I29" t="s">
        <v>19</v>
      </c>
      <c r="J29">
        <v>48.79</v>
      </c>
      <c r="K29">
        <v>1945.83</v>
      </c>
      <c r="L29" t="s">
        <v>15</v>
      </c>
      <c r="M29" t="str">
        <f t="shared" si="1"/>
        <v>3 to 4 years</v>
      </c>
    </row>
    <row r="30" spans="1:13">
      <c r="A30" t="s">
        <v>54</v>
      </c>
      <c r="B30" t="s">
        <v>21</v>
      </c>
      <c r="C30" t="s">
        <v>16</v>
      </c>
      <c r="D30" t="s">
        <v>16</v>
      </c>
      <c r="E30" t="s">
        <v>16</v>
      </c>
      <c r="F30">
        <v>67</v>
      </c>
      <c r="G30" t="s">
        <v>22</v>
      </c>
      <c r="H30" t="s">
        <v>18</v>
      </c>
      <c r="I30" t="s">
        <v>36</v>
      </c>
      <c r="J30">
        <v>67.62</v>
      </c>
      <c r="K30">
        <v>4498.8999999999996</v>
      </c>
      <c r="L30" t="s">
        <v>15</v>
      </c>
      <c r="M30" t="str">
        <f t="shared" si="1"/>
        <v>5 to 6 years</v>
      </c>
    </row>
    <row r="31" spans="1:13">
      <c r="A31" t="s">
        <v>55</v>
      </c>
      <c r="B31" t="s">
        <v>21</v>
      </c>
      <c r="C31" t="s">
        <v>15</v>
      </c>
      <c r="D31" t="s">
        <v>16</v>
      </c>
      <c r="E31" t="s">
        <v>15</v>
      </c>
      <c r="F31">
        <v>32</v>
      </c>
      <c r="G31" t="s">
        <v>22</v>
      </c>
      <c r="H31" t="s">
        <v>18</v>
      </c>
      <c r="I31" t="s">
        <v>26</v>
      </c>
      <c r="J31">
        <v>110.36</v>
      </c>
      <c r="K31">
        <v>3498.51</v>
      </c>
      <c r="L31" t="s">
        <v>15</v>
      </c>
      <c r="M31" t="str">
        <f t="shared" si="1"/>
        <v>2 to 3 years</v>
      </c>
    </row>
    <row r="32" spans="1:13">
      <c r="A32" t="s">
        <v>56</v>
      </c>
      <c r="B32" t="s">
        <v>14</v>
      </c>
      <c r="C32" t="s">
        <v>15</v>
      </c>
      <c r="D32" t="s">
        <v>16</v>
      </c>
      <c r="E32" t="s">
        <v>16</v>
      </c>
      <c r="F32">
        <v>12</v>
      </c>
      <c r="G32" t="s">
        <v>17</v>
      </c>
      <c r="H32" t="s">
        <v>34</v>
      </c>
      <c r="I32" t="s">
        <v>36</v>
      </c>
      <c r="J32">
        <v>39.119999999999997</v>
      </c>
      <c r="K32">
        <v>432.01</v>
      </c>
      <c r="L32" t="s">
        <v>15</v>
      </c>
      <c r="M32" t="str">
        <f t="shared" si="1"/>
        <v>Up to 1 year</v>
      </c>
    </row>
    <row r="33" spans="1:13">
      <c r="A33" t="s">
        <v>57</v>
      </c>
      <c r="B33" t="s">
        <v>14</v>
      </c>
      <c r="C33" t="s">
        <v>15</v>
      </c>
      <c r="D33" t="s">
        <v>15</v>
      </c>
      <c r="E33" t="s">
        <v>15</v>
      </c>
      <c r="F33">
        <v>53</v>
      </c>
      <c r="G33" t="s">
        <v>22</v>
      </c>
      <c r="H33" t="s">
        <v>18</v>
      </c>
      <c r="I33" t="s">
        <v>19</v>
      </c>
      <c r="J33">
        <v>118.08</v>
      </c>
      <c r="K33">
        <v>6417.09</v>
      </c>
      <c r="L33" t="s">
        <v>16</v>
      </c>
      <c r="M33" t="str">
        <f t="shared" si="1"/>
        <v>4 to 5 years</v>
      </c>
    </row>
    <row r="34" spans="1:13">
      <c r="A34" t="s">
        <v>58</v>
      </c>
      <c r="B34" t="s">
        <v>21</v>
      </c>
      <c r="C34" t="s">
        <v>15</v>
      </c>
      <c r="D34" t="s">
        <v>16</v>
      </c>
      <c r="E34" t="s">
        <v>15</v>
      </c>
      <c r="F34">
        <v>6</v>
      </c>
      <c r="G34" t="s">
        <v>22</v>
      </c>
      <c r="H34" t="s">
        <v>34</v>
      </c>
      <c r="I34" t="s">
        <v>23</v>
      </c>
      <c r="J34">
        <v>89.5</v>
      </c>
      <c r="K34">
        <v>527.76</v>
      </c>
      <c r="L34" t="s">
        <v>16</v>
      </c>
      <c r="M34" t="str">
        <f t="shared" si="1"/>
        <v>Up to 1 year</v>
      </c>
    </row>
    <row r="35" spans="1:13">
      <c r="A35" t="s">
        <v>59</v>
      </c>
      <c r="B35" t="s">
        <v>21</v>
      </c>
      <c r="C35" t="s">
        <v>15</v>
      </c>
      <c r="D35" t="s">
        <v>16</v>
      </c>
      <c r="E35" t="s">
        <v>15</v>
      </c>
      <c r="F35">
        <v>13</v>
      </c>
      <c r="G35" t="s">
        <v>22</v>
      </c>
      <c r="H35" t="s">
        <v>34</v>
      </c>
      <c r="I35" t="s">
        <v>36</v>
      </c>
      <c r="J35">
        <v>98.86</v>
      </c>
      <c r="K35">
        <v>1386.72</v>
      </c>
      <c r="L35" t="s">
        <v>16</v>
      </c>
      <c r="M35" t="str">
        <f t="shared" si="1"/>
        <v>1 to 2 years</v>
      </c>
    </row>
    <row r="36" spans="1:13">
      <c r="A36" t="s">
        <v>60</v>
      </c>
      <c r="B36" t="s">
        <v>21</v>
      </c>
      <c r="C36" t="s">
        <v>15</v>
      </c>
      <c r="D36" t="s">
        <v>15</v>
      </c>
      <c r="E36" t="s">
        <v>15</v>
      </c>
      <c r="F36">
        <v>18</v>
      </c>
      <c r="G36" t="s">
        <v>22</v>
      </c>
      <c r="H36" t="s">
        <v>18</v>
      </c>
      <c r="I36" t="s">
        <v>19</v>
      </c>
      <c r="J36">
        <v>56.76</v>
      </c>
      <c r="K36">
        <v>1116.99</v>
      </c>
      <c r="L36" t="s">
        <v>15</v>
      </c>
      <c r="M36" t="str">
        <f t="shared" si="1"/>
        <v>1 to 2 years</v>
      </c>
    </row>
    <row r="37" spans="1:13">
      <c r="A37" t="s">
        <v>61</v>
      </c>
      <c r="B37" t="s">
        <v>14</v>
      </c>
      <c r="C37" t="s">
        <v>15</v>
      </c>
      <c r="D37" t="s">
        <v>16</v>
      </c>
      <c r="E37" t="s">
        <v>15</v>
      </c>
      <c r="F37">
        <v>53</v>
      </c>
      <c r="G37" t="s">
        <v>22</v>
      </c>
      <c r="H37" t="s">
        <v>18</v>
      </c>
      <c r="I37" t="s">
        <v>23</v>
      </c>
      <c r="J37">
        <v>81.81</v>
      </c>
      <c r="K37">
        <v>4351.09</v>
      </c>
      <c r="L37" t="s">
        <v>15</v>
      </c>
      <c r="M37" t="str">
        <f t="shared" si="1"/>
        <v>4 to 5 years</v>
      </c>
    </row>
    <row r="38" spans="1:13">
      <c r="A38" t="s">
        <v>62</v>
      </c>
      <c r="B38" t="s">
        <v>21</v>
      </c>
      <c r="C38" t="s">
        <v>15</v>
      </c>
      <c r="D38" t="s">
        <v>16</v>
      </c>
      <c r="E38" t="s">
        <v>16</v>
      </c>
      <c r="F38">
        <v>19</v>
      </c>
      <c r="G38" t="s">
        <v>25</v>
      </c>
      <c r="H38" t="s">
        <v>18</v>
      </c>
      <c r="I38" t="s">
        <v>23</v>
      </c>
      <c r="J38">
        <v>87.47</v>
      </c>
      <c r="K38">
        <v>1545.8</v>
      </c>
      <c r="L38" t="s">
        <v>16</v>
      </c>
      <c r="M38" t="str">
        <f t="shared" si="1"/>
        <v>1 to 2 years</v>
      </c>
    </row>
    <row r="39" spans="1:13">
      <c r="A39" t="s">
        <v>63</v>
      </c>
      <c r="B39" t="s">
        <v>14</v>
      </c>
      <c r="C39" t="s">
        <v>15</v>
      </c>
      <c r="D39" t="s">
        <v>15</v>
      </c>
      <c r="E39" t="s">
        <v>16</v>
      </c>
      <c r="F39">
        <v>28</v>
      </c>
      <c r="G39" t="s">
        <v>22</v>
      </c>
      <c r="H39" t="s">
        <v>34</v>
      </c>
      <c r="I39" t="s">
        <v>23</v>
      </c>
      <c r="J39">
        <v>76.37</v>
      </c>
      <c r="K39">
        <v>2130.85</v>
      </c>
      <c r="L39" t="s">
        <v>16</v>
      </c>
      <c r="M39" t="str">
        <f t="shared" si="1"/>
        <v>2 to 3 years</v>
      </c>
    </row>
    <row r="40" spans="1:13">
      <c r="A40" t="s">
        <v>64</v>
      </c>
      <c r="B40" t="s">
        <v>14</v>
      </c>
      <c r="C40" t="s">
        <v>15</v>
      </c>
      <c r="D40" t="s">
        <v>16</v>
      </c>
      <c r="E40" t="s">
        <v>16</v>
      </c>
      <c r="F40">
        <v>23</v>
      </c>
      <c r="G40" t="s">
        <v>25</v>
      </c>
      <c r="H40" t="s">
        <v>18</v>
      </c>
      <c r="I40" t="s">
        <v>19</v>
      </c>
      <c r="J40">
        <v>87.39</v>
      </c>
      <c r="K40">
        <v>2021.73</v>
      </c>
      <c r="L40" t="s">
        <v>15</v>
      </c>
      <c r="M40" t="str">
        <f t="shared" si="1"/>
        <v>1 to 2 years</v>
      </c>
    </row>
    <row r="41" spans="1:13">
      <c r="A41" t="s">
        <v>65</v>
      </c>
      <c r="B41" t="s">
        <v>14</v>
      </c>
      <c r="C41" t="s">
        <v>16</v>
      </c>
      <c r="D41" t="s">
        <v>16</v>
      </c>
      <c r="E41" t="s">
        <v>16</v>
      </c>
      <c r="F41">
        <v>62</v>
      </c>
      <c r="G41" t="s">
        <v>17</v>
      </c>
      <c r="H41" t="s">
        <v>34</v>
      </c>
      <c r="I41" t="s">
        <v>36</v>
      </c>
      <c r="J41">
        <v>63.09</v>
      </c>
      <c r="K41">
        <v>4013.81</v>
      </c>
      <c r="L41" t="s">
        <v>15</v>
      </c>
      <c r="M41" t="str">
        <f t="shared" si="1"/>
        <v>5 to 6 years</v>
      </c>
    </row>
    <row r="42" spans="1:13">
      <c r="A42" t="s">
        <v>66</v>
      </c>
      <c r="B42" t="s">
        <v>14</v>
      </c>
      <c r="C42" t="s">
        <v>15</v>
      </c>
      <c r="D42" t="s">
        <v>16</v>
      </c>
      <c r="E42" t="s">
        <v>15</v>
      </c>
      <c r="F42">
        <v>56</v>
      </c>
      <c r="G42" t="s">
        <v>25</v>
      </c>
      <c r="H42" t="s">
        <v>34</v>
      </c>
      <c r="I42" t="s">
        <v>36</v>
      </c>
      <c r="J42">
        <v>73.38</v>
      </c>
      <c r="K42">
        <v>4110.84</v>
      </c>
      <c r="L42" t="s">
        <v>15</v>
      </c>
      <c r="M42" t="str">
        <f t="shared" si="1"/>
        <v>4 to 5 years</v>
      </c>
    </row>
    <row r="43" spans="1:13">
      <c r="A43" t="s">
        <v>67</v>
      </c>
      <c r="B43" t="s">
        <v>14</v>
      </c>
      <c r="C43" t="s">
        <v>15</v>
      </c>
      <c r="D43" t="s">
        <v>15</v>
      </c>
      <c r="E43" t="s">
        <v>15</v>
      </c>
      <c r="F43">
        <v>7</v>
      </c>
      <c r="G43" t="s">
        <v>17</v>
      </c>
      <c r="H43" t="s">
        <v>15</v>
      </c>
      <c r="I43" t="s">
        <v>36</v>
      </c>
      <c r="J43">
        <v>80.84</v>
      </c>
      <c r="K43">
        <v>469.19</v>
      </c>
      <c r="L43" t="s">
        <v>16</v>
      </c>
      <c r="M43" t="str">
        <f t="shared" si="1"/>
        <v>Up to 1 year</v>
      </c>
    </row>
    <row r="44" spans="1:13">
      <c r="A44" t="s">
        <v>68</v>
      </c>
      <c r="B44" t="s">
        <v>21</v>
      </c>
      <c r="C44" t="s">
        <v>15</v>
      </c>
      <c r="D44" t="s">
        <v>16</v>
      </c>
      <c r="E44" t="s">
        <v>15</v>
      </c>
      <c r="F44">
        <v>61</v>
      </c>
      <c r="G44" t="s">
        <v>17</v>
      </c>
      <c r="H44" t="s">
        <v>18</v>
      </c>
      <c r="I44" t="s">
        <v>23</v>
      </c>
      <c r="J44">
        <v>50.84</v>
      </c>
      <c r="K44">
        <v>3180.27</v>
      </c>
      <c r="L44" t="s">
        <v>15</v>
      </c>
      <c r="M44" t="str">
        <f t="shared" si="1"/>
        <v>5 to 6 years</v>
      </c>
    </row>
    <row r="45" spans="1:13">
      <c r="A45" t="s">
        <v>69</v>
      </c>
      <c r="B45" t="s">
        <v>21</v>
      </c>
      <c r="C45" t="s">
        <v>15</v>
      </c>
      <c r="D45" t="s">
        <v>16</v>
      </c>
      <c r="E45" t="s">
        <v>16</v>
      </c>
      <c r="F45">
        <v>28</v>
      </c>
      <c r="G45" t="s">
        <v>22</v>
      </c>
      <c r="H45" t="s">
        <v>34</v>
      </c>
      <c r="I45" t="s">
        <v>19</v>
      </c>
      <c r="J45">
        <v>108.68</v>
      </c>
      <c r="K45">
        <v>3024.84</v>
      </c>
      <c r="L45" t="s">
        <v>15</v>
      </c>
      <c r="M45" t="str">
        <f t="shared" si="1"/>
        <v>2 to 3 years</v>
      </c>
    </row>
    <row r="46" spans="1:13">
      <c r="A46" t="s">
        <v>70</v>
      </c>
      <c r="B46" t="s">
        <v>21</v>
      </c>
      <c r="C46" t="s">
        <v>15</v>
      </c>
      <c r="D46" t="s">
        <v>15</v>
      </c>
      <c r="E46" t="s">
        <v>15</v>
      </c>
      <c r="F46">
        <v>16</v>
      </c>
      <c r="G46" t="s">
        <v>22</v>
      </c>
      <c r="H46" t="s">
        <v>18</v>
      </c>
      <c r="I46" t="s">
        <v>23</v>
      </c>
      <c r="J46">
        <v>104.55</v>
      </c>
      <c r="K46">
        <v>1469.18</v>
      </c>
      <c r="L46" t="s">
        <v>16</v>
      </c>
      <c r="M46" t="str">
        <f t="shared" si="1"/>
        <v>1 to 2 years</v>
      </c>
    </row>
    <row r="47" spans="1:13">
      <c r="A47" t="s">
        <v>71</v>
      </c>
      <c r="B47" t="s">
        <v>21</v>
      </c>
      <c r="C47" t="s">
        <v>15</v>
      </c>
      <c r="D47" t="s">
        <v>16</v>
      </c>
      <c r="E47" t="s">
        <v>15</v>
      </c>
      <c r="F47">
        <v>65</v>
      </c>
      <c r="G47" t="s">
        <v>22</v>
      </c>
      <c r="H47" t="s">
        <v>34</v>
      </c>
      <c r="I47" t="s">
        <v>36</v>
      </c>
      <c r="J47">
        <v>45.87</v>
      </c>
      <c r="K47">
        <v>3007.55</v>
      </c>
      <c r="L47" t="s">
        <v>15</v>
      </c>
      <c r="M47" t="str">
        <f t="shared" si="1"/>
        <v>5 to 6 years</v>
      </c>
    </row>
    <row r="48" spans="1:13">
      <c r="A48" t="s">
        <v>72</v>
      </c>
      <c r="B48" t="s">
        <v>21</v>
      </c>
      <c r="C48" t="s">
        <v>16</v>
      </c>
      <c r="D48" t="s">
        <v>15</v>
      </c>
      <c r="E48" t="s">
        <v>16</v>
      </c>
      <c r="F48">
        <v>5</v>
      </c>
      <c r="G48" t="s">
        <v>25</v>
      </c>
      <c r="H48" t="s">
        <v>15</v>
      </c>
      <c r="I48" t="s">
        <v>19</v>
      </c>
      <c r="J48">
        <v>64.599999999999994</v>
      </c>
      <c r="K48">
        <v>363.06</v>
      </c>
      <c r="L48" t="s">
        <v>15</v>
      </c>
      <c r="M48" t="str">
        <f t="shared" si="1"/>
        <v>Up to 1 year</v>
      </c>
    </row>
    <row r="49" spans="1:13">
      <c r="A49" t="s">
        <v>73</v>
      </c>
      <c r="B49" t="s">
        <v>14</v>
      </c>
      <c r="C49" t="s">
        <v>15</v>
      </c>
      <c r="D49" t="s">
        <v>15</v>
      </c>
      <c r="E49" t="s">
        <v>15</v>
      </c>
      <c r="F49">
        <v>57</v>
      </c>
      <c r="G49" t="s">
        <v>25</v>
      </c>
      <c r="H49" t="s">
        <v>34</v>
      </c>
      <c r="I49" t="s">
        <v>26</v>
      </c>
      <c r="J49">
        <v>92.54</v>
      </c>
      <c r="K49">
        <v>5207.34</v>
      </c>
      <c r="L49" t="s">
        <v>15</v>
      </c>
      <c r="M49" t="str">
        <f t="shared" si="1"/>
        <v>4 to 5 years</v>
      </c>
    </row>
    <row r="50" spans="1:13">
      <c r="A50" t="s">
        <v>74</v>
      </c>
      <c r="B50" t="s">
        <v>21</v>
      </c>
      <c r="C50" t="s">
        <v>15</v>
      </c>
      <c r="D50" t="s">
        <v>16</v>
      </c>
      <c r="E50" t="s">
        <v>15</v>
      </c>
      <c r="F50">
        <v>68</v>
      </c>
      <c r="G50" t="s">
        <v>22</v>
      </c>
      <c r="H50" t="s">
        <v>34</v>
      </c>
      <c r="I50" t="s">
        <v>26</v>
      </c>
      <c r="J50">
        <v>39.119999999999997</v>
      </c>
      <c r="K50">
        <v>2644.8</v>
      </c>
      <c r="L50" t="s">
        <v>15</v>
      </c>
      <c r="M50" t="str">
        <f t="shared" si="1"/>
        <v>5 to 6 years</v>
      </c>
    </row>
    <row r="51" spans="1:13">
      <c r="A51" t="s">
        <v>75</v>
      </c>
      <c r="B51" t="s">
        <v>21</v>
      </c>
      <c r="C51" t="s">
        <v>15</v>
      </c>
      <c r="D51" t="s">
        <v>15</v>
      </c>
      <c r="E51" t="s">
        <v>16</v>
      </c>
      <c r="F51">
        <v>27</v>
      </c>
      <c r="G51" t="s">
        <v>22</v>
      </c>
      <c r="H51" t="s">
        <v>18</v>
      </c>
      <c r="I51" t="s">
        <v>19</v>
      </c>
      <c r="J51">
        <v>81.05</v>
      </c>
      <c r="K51">
        <v>2240.9699999999998</v>
      </c>
      <c r="L51" t="s">
        <v>15</v>
      </c>
      <c r="M51" t="str">
        <f t="shared" si="1"/>
        <v>2 to 3 years</v>
      </c>
    </row>
    <row r="52" spans="1:13">
      <c r="A52" t="s">
        <v>76</v>
      </c>
      <c r="B52" t="s">
        <v>14</v>
      </c>
      <c r="C52" t="s">
        <v>15</v>
      </c>
      <c r="D52" t="s">
        <v>15</v>
      </c>
      <c r="E52" t="s">
        <v>15</v>
      </c>
      <c r="F52">
        <v>61</v>
      </c>
      <c r="G52" t="s">
        <v>22</v>
      </c>
      <c r="H52" t="s">
        <v>18</v>
      </c>
      <c r="I52" t="s">
        <v>23</v>
      </c>
      <c r="J52">
        <v>78.040000000000006</v>
      </c>
      <c r="K52">
        <v>4786.9799999999996</v>
      </c>
      <c r="L52" t="s">
        <v>15</v>
      </c>
      <c r="M52" t="str">
        <f t="shared" si="1"/>
        <v>5 to 6 years</v>
      </c>
    </row>
    <row r="53" spans="1:13">
      <c r="A53" t="s">
        <v>77</v>
      </c>
      <c r="B53" t="s">
        <v>21</v>
      </c>
      <c r="C53" t="s">
        <v>15</v>
      </c>
      <c r="D53" t="s">
        <v>16</v>
      </c>
      <c r="E53" t="s">
        <v>15</v>
      </c>
      <c r="F53">
        <v>40</v>
      </c>
      <c r="G53" t="s">
        <v>17</v>
      </c>
      <c r="H53" t="s">
        <v>18</v>
      </c>
      <c r="I53" t="s">
        <v>36</v>
      </c>
      <c r="J53">
        <v>63.86</v>
      </c>
      <c r="K53">
        <v>2429.39</v>
      </c>
      <c r="L53" t="s">
        <v>15</v>
      </c>
      <c r="M53" t="str">
        <f t="shared" si="1"/>
        <v>3 to 4 years</v>
      </c>
    </row>
    <row r="54" spans="1:13">
      <c r="A54" t="s">
        <v>78</v>
      </c>
      <c r="B54" t="s">
        <v>14</v>
      </c>
      <c r="C54" t="s">
        <v>15</v>
      </c>
      <c r="D54" t="s">
        <v>15</v>
      </c>
      <c r="E54" t="s">
        <v>16</v>
      </c>
      <c r="F54">
        <v>68</v>
      </c>
      <c r="G54" t="s">
        <v>22</v>
      </c>
      <c r="H54" t="s">
        <v>34</v>
      </c>
      <c r="I54" t="s">
        <v>36</v>
      </c>
      <c r="J54">
        <v>72.31</v>
      </c>
      <c r="K54">
        <v>5017.3599999999997</v>
      </c>
      <c r="L54" t="s">
        <v>15</v>
      </c>
      <c r="M54" t="str">
        <f t="shared" si="1"/>
        <v>5 to 6 years</v>
      </c>
    </row>
    <row r="55" spans="1:13">
      <c r="A55" t="s">
        <v>79</v>
      </c>
      <c r="B55" t="s">
        <v>21</v>
      </c>
      <c r="C55" t="s">
        <v>15</v>
      </c>
      <c r="D55" t="s">
        <v>15</v>
      </c>
      <c r="E55" t="s">
        <v>15</v>
      </c>
      <c r="F55">
        <v>40</v>
      </c>
      <c r="G55" t="s">
        <v>17</v>
      </c>
      <c r="H55" t="s">
        <v>34</v>
      </c>
      <c r="I55" t="s">
        <v>23</v>
      </c>
      <c r="J55">
        <v>54.99</v>
      </c>
      <c r="K55">
        <v>2336.11</v>
      </c>
      <c r="L55" t="s">
        <v>15</v>
      </c>
      <c r="M55" t="str">
        <f t="shared" si="1"/>
        <v>3 to 4 years</v>
      </c>
    </row>
    <row r="56" spans="1:13">
      <c r="A56" t="s">
        <v>80</v>
      </c>
      <c r="B56" t="s">
        <v>14</v>
      </c>
      <c r="C56" t="s">
        <v>15</v>
      </c>
      <c r="D56" t="s">
        <v>16</v>
      </c>
      <c r="E56" t="s">
        <v>15</v>
      </c>
      <c r="F56">
        <v>48</v>
      </c>
      <c r="G56" t="s">
        <v>25</v>
      </c>
      <c r="H56" t="s">
        <v>18</v>
      </c>
      <c r="I56" t="s">
        <v>19</v>
      </c>
      <c r="J56">
        <v>114.36</v>
      </c>
      <c r="K56">
        <v>5448.47</v>
      </c>
      <c r="L56" t="s">
        <v>15</v>
      </c>
      <c r="M56" t="str">
        <f t="shared" si="1"/>
        <v>3 to 4 years</v>
      </c>
    </row>
    <row r="57" spans="1:13">
      <c r="A57" t="s">
        <v>81</v>
      </c>
      <c r="B57" t="s">
        <v>21</v>
      </c>
      <c r="C57" t="s">
        <v>15</v>
      </c>
      <c r="D57" t="s">
        <v>16</v>
      </c>
      <c r="E57" t="s">
        <v>15</v>
      </c>
      <c r="F57">
        <v>48</v>
      </c>
      <c r="G57" t="s">
        <v>22</v>
      </c>
      <c r="H57" t="s">
        <v>34</v>
      </c>
      <c r="I57" t="s">
        <v>36</v>
      </c>
      <c r="J57">
        <v>54.33</v>
      </c>
      <c r="K57">
        <v>2455.0500000000002</v>
      </c>
      <c r="L57" t="s">
        <v>16</v>
      </c>
      <c r="M57" t="str">
        <f t="shared" si="1"/>
        <v>3 to 4 years</v>
      </c>
    </row>
    <row r="58" spans="1:13">
      <c r="A58" t="s">
        <v>82</v>
      </c>
      <c r="B58" t="s">
        <v>21</v>
      </c>
      <c r="C58" t="s">
        <v>16</v>
      </c>
      <c r="D58" t="s">
        <v>16</v>
      </c>
      <c r="E58" t="s">
        <v>15</v>
      </c>
      <c r="F58">
        <v>70</v>
      </c>
      <c r="G58" t="s">
        <v>22</v>
      </c>
      <c r="H58" t="s">
        <v>15</v>
      </c>
      <c r="I58" t="s">
        <v>23</v>
      </c>
      <c r="J58">
        <v>74.8</v>
      </c>
      <c r="K58">
        <v>5297.69</v>
      </c>
      <c r="L58" t="s">
        <v>15</v>
      </c>
      <c r="M58" t="str">
        <f t="shared" si="1"/>
        <v>5 to 6 years</v>
      </c>
    </row>
    <row r="59" spans="1:13">
      <c r="A59" t="s">
        <v>83</v>
      </c>
      <c r="B59" t="s">
        <v>14</v>
      </c>
      <c r="C59" t="s">
        <v>16</v>
      </c>
      <c r="D59" t="s">
        <v>15</v>
      </c>
      <c r="E59" t="s">
        <v>15</v>
      </c>
      <c r="F59">
        <v>2</v>
      </c>
      <c r="G59" t="s">
        <v>22</v>
      </c>
      <c r="H59" t="s">
        <v>34</v>
      </c>
      <c r="I59" t="s">
        <v>19</v>
      </c>
      <c r="J59">
        <v>28.62</v>
      </c>
      <c r="K59">
        <v>14.31</v>
      </c>
      <c r="L59" t="s">
        <v>16</v>
      </c>
      <c r="M59" t="str">
        <f t="shared" si="1"/>
        <v>Up to 1 year</v>
      </c>
    </row>
    <row r="60" spans="1:13">
      <c r="A60" t="s">
        <v>84</v>
      </c>
      <c r="B60" t="s">
        <v>14</v>
      </c>
      <c r="C60" t="s">
        <v>15</v>
      </c>
      <c r="D60" t="s">
        <v>16</v>
      </c>
      <c r="E60" t="s">
        <v>15</v>
      </c>
      <c r="F60">
        <v>9</v>
      </c>
      <c r="G60" t="s">
        <v>22</v>
      </c>
      <c r="H60" t="s">
        <v>18</v>
      </c>
      <c r="I60" t="s">
        <v>23</v>
      </c>
      <c r="J60">
        <v>75.95</v>
      </c>
      <c r="K60">
        <v>726.39</v>
      </c>
      <c r="L60" t="s">
        <v>16</v>
      </c>
      <c r="M60" t="str">
        <f t="shared" si="1"/>
        <v>Up to 1 year</v>
      </c>
    </row>
    <row r="61" spans="1:13">
      <c r="A61" t="s">
        <v>85</v>
      </c>
      <c r="B61" t="s">
        <v>14</v>
      </c>
      <c r="C61" t="s">
        <v>15</v>
      </c>
      <c r="D61" t="s">
        <v>15</v>
      </c>
      <c r="E61" t="s">
        <v>15</v>
      </c>
      <c r="F61">
        <v>34</v>
      </c>
      <c r="G61" t="s">
        <v>22</v>
      </c>
      <c r="H61" t="s">
        <v>18</v>
      </c>
      <c r="I61" t="s">
        <v>19</v>
      </c>
      <c r="J61">
        <v>80.31</v>
      </c>
      <c r="K61">
        <v>2906.71</v>
      </c>
      <c r="L61" t="s">
        <v>15</v>
      </c>
      <c r="M61" t="str">
        <f t="shared" si="1"/>
        <v>2 to 3 years</v>
      </c>
    </row>
    <row r="62" spans="1:13">
      <c r="A62" t="s">
        <v>86</v>
      </c>
      <c r="B62" t="s">
        <v>14</v>
      </c>
      <c r="C62" t="s">
        <v>15</v>
      </c>
      <c r="D62" t="s">
        <v>15</v>
      </c>
      <c r="E62" t="s">
        <v>16</v>
      </c>
      <c r="F62">
        <v>1</v>
      </c>
      <c r="G62" t="s">
        <v>22</v>
      </c>
      <c r="H62" t="s">
        <v>34</v>
      </c>
      <c r="I62" t="s">
        <v>23</v>
      </c>
      <c r="J62">
        <v>65.14</v>
      </c>
      <c r="K62">
        <v>32.57</v>
      </c>
      <c r="L62" t="s">
        <v>16</v>
      </c>
      <c r="M62" t="str">
        <f t="shared" si="1"/>
        <v>Up to 1 year</v>
      </c>
    </row>
    <row r="63" spans="1:13">
      <c r="A63" t="s">
        <v>87</v>
      </c>
      <c r="B63" t="s">
        <v>14</v>
      </c>
      <c r="C63" t="s">
        <v>15</v>
      </c>
      <c r="D63" t="s">
        <v>15</v>
      </c>
      <c r="E63" t="s">
        <v>15</v>
      </c>
      <c r="F63">
        <v>23</v>
      </c>
      <c r="G63" t="s">
        <v>25</v>
      </c>
      <c r="H63" t="s">
        <v>18</v>
      </c>
      <c r="I63" t="s">
        <v>19</v>
      </c>
      <c r="J63">
        <v>70.09</v>
      </c>
      <c r="K63">
        <v>1548.34</v>
      </c>
      <c r="L63" t="s">
        <v>15</v>
      </c>
      <c r="M63" t="str">
        <f t="shared" si="1"/>
        <v>1 to 2 years</v>
      </c>
    </row>
    <row r="64" spans="1:13">
      <c r="A64" t="s">
        <v>88</v>
      </c>
      <c r="B64" t="s">
        <v>14</v>
      </c>
      <c r="C64" t="s">
        <v>16</v>
      </c>
      <c r="D64" t="s">
        <v>15</v>
      </c>
      <c r="E64" t="s">
        <v>15</v>
      </c>
      <c r="F64">
        <v>37</v>
      </c>
      <c r="G64" t="s">
        <v>22</v>
      </c>
      <c r="H64" t="s">
        <v>18</v>
      </c>
      <c r="I64" t="s">
        <v>23</v>
      </c>
      <c r="J64">
        <v>63.31</v>
      </c>
      <c r="K64">
        <v>2326.91</v>
      </c>
      <c r="L64" t="s">
        <v>15</v>
      </c>
      <c r="M64" t="str">
        <f t="shared" si="1"/>
        <v>3 to 4 years</v>
      </c>
    </row>
    <row r="65" spans="1:13">
      <c r="A65" t="s">
        <v>89</v>
      </c>
      <c r="B65" t="s">
        <v>14</v>
      </c>
      <c r="C65" t="s">
        <v>16</v>
      </c>
      <c r="D65" t="s">
        <v>15</v>
      </c>
      <c r="E65" t="s">
        <v>15</v>
      </c>
      <c r="F65">
        <v>21</v>
      </c>
      <c r="G65" t="s">
        <v>22</v>
      </c>
      <c r="H65" t="s">
        <v>34</v>
      </c>
      <c r="I65" t="s">
        <v>19</v>
      </c>
      <c r="J65">
        <v>88.86</v>
      </c>
      <c r="K65">
        <v>1969.39</v>
      </c>
      <c r="L65" t="s">
        <v>15</v>
      </c>
      <c r="M65" t="str">
        <f t="shared" si="1"/>
        <v>1 to 2 years</v>
      </c>
    </row>
    <row r="66" spans="1:13">
      <c r="A66" t="s">
        <v>90</v>
      </c>
      <c r="B66" t="s">
        <v>14</v>
      </c>
      <c r="C66" t="s">
        <v>15</v>
      </c>
      <c r="D66" t="s">
        <v>15</v>
      </c>
      <c r="E66" t="s">
        <v>16</v>
      </c>
      <c r="F66">
        <v>25</v>
      </c>
      <c r="G66" t="s">
        <v>25</v>
      </c>
      <c r="H66" t="s">
        <v>15</v>
      </c>
      <c r="I66" t="s">
        <v>36</v>
      </c>
      <c r="J66">
        <v>79.989999999999995</v>
      </c>
      <c r="K66">
        <v>2284.1999999999998</v>
      </c>
      <c r="L66" t="s">
        <v>15</v>
      </c>
      <c r="M66" t="str">
        <f t="shared" si="1"/>
        <v>2 to 3 years</v>
      </c>
    </row>
    <row r="67" spans="1:13">
      <c r="A67" t="s">
        <v>91</v>
      </c>
      <c r="B67" t="s">
        <v>21</v>
      </c>
      <c r="C67" t="s">
        <v>15</v>
      </c>
      <c r="D67" t="s">
        <v>15</v>
      </c>
      <c r="E67" t="s">
        <v>15</v>
      </c>
      <c r="F67">
        <v>42</v>
      </c>
      <c r="G67" t="s">
        <v>17</v>
      </c>
      <c r="H67" t="s">
        <v>18</v>
      </c>
      <c r="I67" t="s">
        <v>36</v>
      </c>
      <c r="J67">
        <v>77.95</v>
      </c>
      <c r="K67">
        <v>3293.67</v>
      </c>
      <c r="L67" t="s">
        <v>15</v>
      </c>
      <c r="M67" t="str">
        <f t="shared" ref="M67:M130" si="2">IF(F67=0,"Just signed",IF(F67&lt;=12,"Up to 1 year",IF(F67&lt;=24,"1 to 2 years",IF(F67&lt;=36,"2 to 3 years",IF(F67&lt;=48,"3 to 4 years",IF(F67&lt;=60,"4 to 5 years","5 to 6 years"))))))</f>
        <v>3 to 4 years</v>
      </c>
    </row>
    <row r="68" spans="1:13">
      <c r="A68" t="s">
        <v>92</v>
      </c>
      <c r="B68" t="s">
        <v>21</v>
      </c>
      <c r="C68" t="s">
        <v>15</v>
      </c>
      <c r="D68" t="s">
        <v>16</v>
      </c>
      <c r="E68" t="s">
        <v>16</v>
      </c>
      <c r="F68">
        <v>54</v>
      </c>
      <c r="G68" t="s">
        <v>22</v>
      </c>
      <c r="H68" t="s">
        <v>34</v>
      </c>
      <c r="I68" t="s">
        <v>36</v>
      </c>
      <c r="J68">
        <v>42.58</v>
      </c>
      <c r="K68">
        <v>2168.7399999999998</v>
      </c>
      <c r="L68" t="s">
        <v>15</v>
      </c>
      <c r="M68" t="str">
        <f t="shared" si="2"/>
        <v>4 to 5 years</v>
      </c>
    </row>
    <row r="69" spans="1:13">
      <c r="A69" t="s">
        <v>93</v>
      </c>
      <c r="B69" t="s">
        <v>14</v>
      </c>
      <c r="C69" t="s">
        <v>15</v>
      </c>
      <c r="D69" t="s">
        <v>16</v>
      </c>
      <c r="E69" t="s">
        <v>16</v>
      </c>
      <c r="F69">
        <v>38</v>
      </c>
      <c r="G69" t="s">
        <v>17</v>
      </c>
      <c r="H69" t="s">
        <v>18</v>
      </c>
      <c r="I69" t="s">
        <v>26</v>
      </c>
      <c r="J69">
        <v>124.85</v>
      </c>
      <c r="K69">
        <v>4716.66</v>
      </c>
      <c r="L69" t="s">
        <v>15</v>
      </c>
      <c r="M69" t="str">
        <f t="shared" si="2"/>
        <v>3 to 4 years</v>
      </c>
    </row>
    <row r="70" spans="1:13">
      <c r="A70" t="s">
        <v>94</v>
      </c>
      <c r="B70" t="s">
        <v>21</v>
      </c>
      <c r="C70" t="s">
        <v>15</v>
      </c>
      <c r="D70" t="s">
        <v>15</v>
      </c>
      <c r="E70" t="s">
        <v>16</v>
      </c>
      <c r="F70">
        <v>28</v>
      </c>
      <c r="G70" t="s">
        <v>22</v>
      </c>
      <c r="H70" t="s">
        <v>34</v>
      </c>
      <c r="I70" t="s">
        <v>23</v>
      </c>
      <c r="J70">
        <v>48.01</v>
      </c>
      <c r="K70">
        <v>1282.29</v>
      </c>
      <c r="L70" t="s">
        <v>15</v>
      </c>
      <c r="M70" t="str">
        <f t="shared" si="2"/>
        <v>2 to 3 years</v>
      </c>
    </row>
    <row r="71" spans="1:13">
      <c r="A71" t="s">
        <v>95</v>
      </c>
      <c r="B71" t="s">
        <v>21</v>
      </c>
      <c r="C71" t="s">
        <v>15</v>
      </c>
      <c r="D71" t="s">
        <v>15</v>
      </c>
      <c r="E71" t="s">
        <v>15</v>
      </c>
      <c r="F71">
        <v>19</v>
      </c>
      <c r="G71" t="s">
        <v>17</v>
      </c>
      <c r="H71" t="s">
        <v>18</v>
      </c>
      <c r="I71" t="s">
        <v>23</v>
      </c>
      <c r="J71">
        <v>43.51</v>
      </c>
      <c r="K71">
        <v>884.42</v>
      </c>
      <c r="L71" t="s">
        <v>15</v>
      </c>
      <c r="M71" t="str">
        <f t="shared" si="2"/>
        <v>1 to 2 years</v>
      </c>
    </row>
    <row r="72" spans="1:13">
      <c r="A72" t="s">
        <v>96</v>
      </c>
      <c r="B72" t="s">
        <v>21</v>
      </c>
      <c r="C72" t="s">
        <v>15</v>
      </c>
      <c r="D72" t="s">
        <v>16</v>
      </c>
      <c r="E72" t="s">
        <v>15</v>
      </c>
      <c r="F72">
        <v>40</v>
      </c>
      <c r="G72" t="s">
        <v>17</v>
      </c>
      <c r="H72" t="s">
        <v>18</v>
      </c>
      <c r="I72" t="s">
        <v>36</v>
      </c>
      <c r="J72">
        <v>29.68</v>
      </c>
      <c r="K72">
        <v>1217.3499999999999</v>
      </c>
      <c r="L72" t="s">
        <v>15</v>
      </c>
      <c r="M72" t="str">
        <f t="shared" si="2"/>
        <v>3 to 4 years</v>
      </c>
    </row>
    <row r="73" spans="1:13">
      <c r="A73" t="s">
        <v>97</v>
      </c>
      <c r="B73" t="s">
        <v>21</v>
      </c>
      <c r="C73" t="s">
        <v>15</v>
      </c>
      <c r="D73" t="s">
        <v>15</v>
      </c>
      <c r="E73" t="s">
        <v>15</v>
      </c>
      <c r="F73">
        <v>53</v>
      </c>
      <c r="G73" t="s">
        <v>17</v>
      </c>
      <c r="H73" t="s">
        <v>18</v>
      </c>
      <c r="I73" t="s">
        <v>19</v>
      </c>
      <c r="J73">
        <v>82.49</v>
      </c>
      <c r="K73">
        <v>4288.62</v>
      </c>
      <c r="L73" t="s">
        <v>15</v>
      </c>
      <c r="M73" t="str">
        <f t="shared" si="2"/>
        <v>4 to 5 years</v>
      </c>
    </row>
    <row r="74" spans="1:13">
      <c r="A74" t="s">
        <v>98</v>
      </c>
      <c r="B74" t="s">
        <v>14</v>
      </c>
      <c r="C74" t="s">
        <v>15</v>
      </c>
      <c r="D74" t="s">
        <v>16</v>
      </c>
      <c r="E74" t="s">
        <v>16</v>
      </c>
      <c r="F74">
        <v>19</v>
      </c>
      <c r="G74" t="s">
        <v>22</v>
      </c>
      <c r="H74" t="s">
        <v>15</v>
      </c>
      <c r="I74" t="s">
        <v>23</v>
      </c>
      <c r="J74">
        <v>49.56</v>
      </c>
      <c r="K74">
        <v>874.96</v>
      </c>
      <c r="L74" t="s">
        <v>15</v>
      </c>
      <c r="M74" t="str">
        <f t="shared" si="2"/>
        <v>1 to 2 years</v>
      </c>
    </row>
    <row r="75" spans="1:13">
      <c r="A75" t="s">
        <v>99</v>
      </c>
      <c r="B75" t="s">
        <v>21</v>
      </c>
      <c r="C75" t="s">
        <v>15</v>
      </c>
      <c r="D75" t="s">
        <v>16</v>
      </c>
      <c r="E75" t="s">
        <v>15</v>
      </c>
      <c r="F75">
        <v>18</v>
      </c>
      <c r="G75" t="s">
        <v>25</v>
      </c>
      <c r="H75" t="s">
        <v>18</v>
      </c>
      <c r="I75" t="s">
        <v>26</v>
      </c>
      <c r="J75">
        <v>105.77</v>
      </c>
      <c r="K75">
        <v>1875.06</v>
      </c>
      <c r="L75" t="s">
        <v>15</v>
      </c>
      <c r="M75" t="str">
        <f t="shared" si="2"/>
        <v>1 to 2 years</v>
      </c>
    </row>
    <row r="76" spans="1:13">
      <c r="A76" t="s">
        <v>100</v>
      </c>
      <c r="B76" t="s">
        <v>14</v>
      </c>
      <c r="C76" t="s">
        <v>15</v>
      </c>
      <c r="D76" t="s">
        <v>16</v>
      </c>
      <c r="E76" t="s">
        <v>15</v>
      </c>
      <c r="F76">
        <v>65</v>
      </c>
      <c r="G76" t="s">
        <v>22</v>
      </c>
      <c r="H76" t="s">
        <v>18</v>
      </c>
      <c r="I76" t="s">
        <v>23</v>
      </c>
      <c r="J76">
        <v>95.28</v>
      </c>
      <c r="K76">
        <v>6174.05</v>
      </c>
      <c r="L76" t="s">
        <v>15</v>
      </c>
      <c r="M76" t="str">
        <f t="shared" si="2"/>
        <v>5 to 6 years</v>
      </c>
    </row>
    <row r="77" spans="1:13">
      <c r="A77" t="s">
        <v>101</v>
      </c>
      <c r="B77" t="s">
        <v>21</v>
      </c>
      <c r="C77" t="s">
        <v>15</v>
      </c>
      <c r="D77" t="s">
        <v>15</v>
      </c>
      <c r="E77" t="s">
        <v>15</v>
      </c>
      <c r="F77">
        <v>29</v>
      </c>
      <c r="G77" t="s">
        <v>22</v>
      </c>
      <c r="H77" t="s">
        <v>34</v>
      </c>
      <c r="I77" t="s">
        <v>23</v>
      </c>
      <c r="J77">
        <v>77.260000000000005</v>
      </c>
      <c r="K77">
        <v>2237.16</v>
      </c>
      <c r="L77" t="s">
        <v>15</v>
      </c>
      <c r="M77" t="str">
        <f t="shared" si="2"/>
        <v>2 to 3 years</v>
      </c>
    </row>
    <row r="78" spans="1:13">
      <c r="A78" t="s">
        <v>102</v>
      </c>
      <c r="B78" t="s">
        <v>21</v>
      </c>
      <c r="C78" t="s">
        <v>16</v>
      </c>
      <c r="D78" t="s">
        <v>15</v>
      </c>
      <c r="E78" t="s">
        <v>16</v>
      </c>
      <c r="F78">
        <v>52</v>
      </c>
      <c r="G78" t="s">
        <v>22</v>
      </c>
      <c r="H78" t="s">
        <v>18</v>
      </c>
      <c r="I78" t="s">
        <v>36</v>
      </c>
      <c r="J78">
        <v>73.22</v>
      </c>
      <c r="K78">
        <v>3811.35</v>
      </c>
      <c r="L78" t="s">
        <v>16</v>
      </c>
      <c r="M78" t="str">
        <f t="shared" si="2"/>
        <v>4 to 5 years</v>
      </c>
    </row>
    <row r="79" spans="1:13">
      <c r="A79" t="s">
        <v>103</v>
      </c>
      <c r="B79" t="s">
        <v>21</v>
      </c>
      <c r="C79" t="s">
        <v>15</v>
      </c>
      <c r="D79" t="s">
        <v>16</v>
      </c>
      <c r="E79" t="s">
        <v>15</v>
      </c>
      <c r="F79">
        <v>33</v>
      </c>
      <c r="G79" t="s">
        <v>22</v>
      </c>
      <c r="H79" t="s">
        <v>34</v>
      </c>
      <c r="I79" t="s">
        <v>36</v>
      </c>
      <c r="J79">
        <v>97.75</v>
      </c>
      <c r="K79">
        <v>3324.54</v>
      </c>
      <c r="L79" t="s">
        <v>15</v>
      </c>
      <c r="M79" t="str">
        <f t="shared" si="2"/>
        <v>2 to 3 years</v>
      </c>
    </row>
    <row r="80" spans="1:13">
      <c r="A80" t="s">
        <v>104</v>
      </c>
      <c r="B80" t="s">
        <v>14</v>
      </c>
      <c r="C80" t="s">
        <v>15</v>
      </c>
      <c r="D80" t="s">
        <v>16</v>
      </c>
      <c r="E80" t="s">
        <v>15</v>
      </c>
      <c r="F80">
        <v>21</v>
      </c>
      <c r="G80" t="s">
        <v>22</v>
      </c>
      <c r="H80" t="s">
        <v>18</v>
      </c>
      <c r="I80" t="s">
        <v>19</v>
      </c>
      <c r="J80">
        <v>126.68</v>
      </c>
      <c r="K80">
        <v>2628.58</v>
      </c>
      <c r="L80" t="s">
        <v>16</v>
      </c>
      <c r="M80" t="str">
        <f t="shared" si="2"/>
        <v>1 to 2 years</v>
      </c>
    </row>
    <row r="81" spans="1:13">
      <c r="A81" t="s">
        <v>105</v>
      </c>
      <c r="B81" t="s">
        <v>21</v>
      </c>
      <c r="C81" t="s">
        <v>15</v>
      </c>
      <c r="D81" t="s">
        <v>16</v>
      </c>
      <c r="E81" t="s">
        <v>15</v>
      </c>
      <c r="F81">
        <v>66</v>
      </c>
      <c r="G81" t="s">
        <v>25</v>
      </c>
      <c r="H81" t="s">
        <v>18</v>
      </c>
      <c r="I81" t="s">
        <v>36</v>
      </c>
      <c r="J81">
        <v>105.22</v>
      </c>
      <c r="K81">
        <v>6901.03</v>
      </c>
      <c r="L81" t="s">
        <v>15</v>
      </c>
      <c r="M81" t="str">
        <f t="shared" si="2"/>
        <v>5 to 6 years</v>
      </c>
    </row>
    <row r="82" spans="1:13">
      <c r="A82" t="s">
        <v>106</v>
      </c>
      <c r="B82" t="s">
        <v>14</v>
      </c>
      <c r="C82" t="s">
        <v>15</v>
      </c>
      <c r="D82" t="s">
        <v>16</v>
      </c>
      <c r="E82" t="s">
        <v>16</v>
      </c>
      <c r="F82">
        <v>5</v>
      </c>
      <c r="G82" t="s">
        <v>25</v>
      </c>
      <c r="H82" t="s">
        <v>34</v>
      </c>
      <c r="I82" t="s">
        <v>26</v>
      </c>
      <c r="J82">
        <v>58.41</v>
      </c>
      <c r="K82">
        <v>184.95</v>
      </c>
      <c r="L82" t="s">
        <v>15</v>
      </c>
      <c r="M82" t="str">
        <f t="shared" si="2"/>
        <v>Up to 1 year</v>
      </c>
    </row>
    <row r="83" spans="1:13">
      <c r="A83" t="s">
        <v>107</v>
      </c>
      <c r="B83" t="s">
        <v>21</v>
      </c>
      <c r="C83" t="s">
        <v>15</v>
      </c>
      <c r="D83" t="s">
        <v>16</v>
      </c>
      <c r="E83" t="s">
        <v>16</v>
      </c>
      <c r="F83">
        <v>26</v>
      </c>
      <c r="G83" t="s">
        <v>22</v>
      </c>
      <c r="H83" t="s">
        <v>34</v>
      </c>
      <c r="I83" t="s">
        <v>26</v>
      </c>
      <c r="J83">
        <v>89.54</v>
      </c>
      <c r="K83">
        <v>2310.13</v>
      </c>
      <c r="L83" t="s">
        <v>15</v>
      </c>
      <c r="M83" t="str">
        <f t="shared" si="2"/>
        <v>2 to 3 years</v>
      </c>
    </row>
    <row r="84" spans="1:13">
      <c r="A84" t="s">
        <v>108</v>
      </c>
      <c r="B84" t="s">
        <v>14</v>
      </c>
      <c r="C84" t="s">
        <v>15</v>
      </c>
      <c r="D84" t="s">
        <v>15</v>
      </c>
      <c r="E84" t="s">
        <v>15</v>
      </c>
      <c r="F84">
        <v>9</v>
      </c>
      <c r="G84" t="s">
        <v>22</v>
      </c>
      <c r="H84" t="s">
        <v>18</v>
      </c>
      <c r="I84" t="s">
        <v>23</v>
      </c>
      <c r="J84">
        <v>69.95</v>
      </c>
      <c r="K84">
        <v>650.04999999999995</v>
      </c>
      <c r="L84" t="s">
        <v>15</v>
      </c>
      <c r="M84" t="str">
        <f t="shared" si="2"/>
        <v>Up to 1 year</v>
      </c>
    </row>
    <row r="85" spans="1:13">
      <c r="A85" t="s">
        <v>109</v>
      </c>
      <c r="B85" t="s">
        <v>21</v>
      </c>
      <c r="C85" t="s">
        <v>15</v>
      </c>
      <c r="D85" t="s">
        <v>16</v>
      </c>
      <c r="E85" t="s">
        <v>15</v>
      </c>
      <c r="F85">
        <v>72</v>
      </c>
      <c r="G85" t="s">
        <v>22</v>
      </c>
      <c r="H85" t="s">
        <v>18</v>
      </c>
      <c r="I85" t="s">
        <v>23</v>
      </c>
      <c r="J85">
        <v>52.37</v>
      </c>
      <c r="K85">
        <v>3632.71</v>
      </c>
      <c r="L85" t="s">
        <v>15</v>
      </c>
      <c r="M85" t="str">
        <f t="shared" si="2"/>
        <v>5 to 6 years</v>
      </c>
    </row>
    <row r="86" spans="1:13">
      <c r="A86" t="s">
        <v>110</v>
      </c>
      <c r="B86" t="s">
        <v>14</v>
      </c>
      <c r="C86" t="s">
        <v>15</v>
      </c>
      <c r="D86" t="s">
        <v>15</v>
      </c>
      <c r="E86" t="s">
        <v>15</v>
      </c>
      <c r="F86">
        <v>47</v>
      </c>
      <c r="G86" t="s">
        <v>22</v>
      </c>
      <c r="H86" t="s">
        <v>18</v>
      </c>
      <c r="I86" t="s">
        <v>26</v>
      </c>
      <c r="J86">
        <v>57.52</v>
      </c>
      <c r="K86">
        <v>2676.05</v>
      </c>
      <c r="L86" t="s">
        <v>16</v>
      </c>
      <c r="M86" t="str">
        <f t="shared" si="2"/>
        <v>3 to 4 years</v>
      </c>
    </row>
    <row r="87" spans="1:13">
      <c r="A87" t="s">
        <v>111</v>
      </c>
      <c r="B87" t="s">
        <v>14</v>
      </c>
      <c r="C87" t="s">
        <v>15</v>
      </c>
      <c r="D87" t="s">
        <v>16</v>
      </c>
      <c r="E87" t="s">
        <v>15</v>
      </c>
      <c r="F87">
        <v>69</v>
      </c>
      <c r="G87" t="s">
        <v>22</v>
      </c>
      <c r="H87" t="s">
        <v>18</v>
      </c>
      <c r="I87" t="s">
        <v>36</v>
      </c>
      <c r="J87">
        <v>71.05</v>
      </c>
      <c r="K87">
        <v>4995.2700000000004</v>
      </c>
      <c r="L87" t="s">
        <v>15</v>
      </c>
      <c r="M87" t="str">
        <f t="shared" si="2"/>
        <v>5 to 6 years</v>
      </c>
    </row>
    <row r="88" spans="1:13">
      <c r="A88" t="s">
        <v>112</v>
      </c>
      <c r="B88" t="s">
        <v>21</v>
      </c>
      <c r="C88" t="s">
        <v>16</v>
      </c>
      <c r="D88" t="s">
        <v>15</v>
      </c>
      <c r="E88" t="s">
        <v>16</v>
      </c>
      <c r="F88">
        <v>58</v>
      </c>
      <c r="G88" t="s">
        <v>25</v>
      </c>
      <c r="H88" t="s">
        <v>18</v>
      </c>
      <c r="I88" t="s">
        <v>26</v>
      </c>
      <c r="J88">
        <v>82.6</v>
      </c>
      <c r="K88">
        <v>4842.66</v>
      </c>
      <c r="L88" t="s">
        <v>15</v>
      </c>
      <c r="M88" t="str">
        <f t="shared" si="2"/>
        <v>4 to 5 years</v>
      </c>
    </row>
    <row r="89" spans="1:13">
      <c r="A89" t="s">
        <v>113</v>
      </c>
      <c r="B89" t="s">
        <v>14</v>
      </c>
      <c r="C89" t="s">
        <v>16</v>
      </c>
      <c r="D89" t="s">
        <v>15</v>
      </c>
      <c r="E89" t="s">
        <v>15</v>
      </c>
      <c r="F89">
        <v>58</v>
      </c>
      <c r="G89" t="s">
        <v>22</v>
      </c>
      <c r="H89" t="s">
        <v>18</v>
      </c>
      <c r="I89" t="s">
        <v>23</v>
      </c>
      <c r="J89">
        <v>131.51</v>
      </c>
      <c r="K89">
        <v>7657.45</v>
      </c>
      <c r="L89" t="s">
        <v>16</v>
      </c>
      <c r="M89" t="str">
        <f t="shared" si="2"/>
        <v>4 to 5 years</v>
      </c>
    </row>
    <row r="90" spans="1:13">
      <c r="A90" t="s">
        <v>114</v>
      </c>
      <c r="B90" t="s">
        <v>21</v>
      </c>
      <c r="C90" t="s">
        <v>16</v>
      </c>
      <c r="D90" t="s">
        <v>15</v>
      </c>
      <c r="E90" t="s">
        <v>15</v>
      </c>
      <c r="F90">
        <v>1</v>
      </c>
      <c r="G90" t="s">
        <v>22</v>
      </c>
      <c r="H90" t="s">
        <v>34</v>
      </c>
      <c r="I90" t="s">
        <v>23</v>
      </c>
      <c r="J90">
        <v>47.96</v>
      </c>
      <c r="K90">
        <v>97.66</v>
      </c>
      <c r="L90" t="s">
        <v>16</v>
      </c>
      <c r="M90" t="str">
        <f t="shared" si="2"/>
        <v>Up to 1 year</v>
      </c>
    </row>
    <row r="91" spans="1:13">
      <c r="A91" t="s">
        <v>115</v>
      </c>
      <c r="B91" t="s">
        <v>21</v>
      </c>
      <c r="C91" t="s">
        <v>16</v>
      </c>
      <c r="D91" t="s">
        <v>15</v>
      </c>
      <c r="E91" t="s">
        <v>15</v>
      </c>
      <c r="F91">
        <v>28</v>
      </c>
      <c r="G91" t="s">
        <v>22</v>
      </c>
      <c r="H91" t="s">
        <v>34</v>
      </c>
      <c r="I91" t="s">
        <v>36</v>
      </c>
      <c r="J91">
        <v>103.09</v>
      </c>
      <c r="K91">
        <v>2840.62</v>
      </c>
      <c r="L91" t="s">
        <v>15</v>
      </c>
      <c r="M91" t="str">
        <f t="shared" si="2"/>
        <v>2 to 3 years</v>
      </c>
    </row>
    <row r="92" spans="1:13">
      <c r="A92" t="s">
        <v>116</v>
      </c>
      <c r="B92" t="s">
        <v>21</v>
      </c>
      <c r="C92" t="s">
        <v>16</v>
      </c>
      <c r="D92" t="s">
        <v>15</v>
      </c>
      <c r="E92" t="s">
        <v>15</v>
      </c>
      <c r="F92">
        <v>67</v>
      </c>
      <c r="G92" t="s">
        <v>25</v>
      </c>
      <c r="H92" t="s">
        <v>18</v>
      </c>
      <c r="I92" t="s">
        <v>23</v>
      </c>
      <c r="J92">
        <v>72.069999999999993</v>
      </c>
      <c r="K92">
        <v>4772.1400000000003</v>
      </c>
      <c r="L92" t="s">
        <v>15</v>
      </c>
      <c r="M92" t="str">
        <f t="shared" si="2"/>
        <v>5 to 6 years</v>
      </c>
    </row>
    <row r="93" spans="1:13">
      <c r="A93" t="s">
        <v>117</v>
      </c>
      <c r="B93" t="s">
        <v>21</v>
      </c>
      <c r="C93" t="s">
        <v>15</v>
      </c>
      <c r="D93" t="s">
        <v>15</v>
      </c>
      <c r="E93" t="s">
        <v>15</v>
      </c>
      <c r="F93">
        <v>64</v>
      </c>
      <c r="G93" t="s">
        <v>17</v>
      </c>
      <c r="H93" t="s">
        <v>18</v>
      </c>
      <c r="I93" t="s">
        <v>19</v>
      </c>
      <c r="J93">
        <v>29.59</v>
      </c>
      <c r="K93">
        <v>1995.51</v>
      </c>
      <c r="L93" t="s">
        <v>15</v>
      </c>
      <c r="M93" t="str">
        <f t="shared" si="2"/>
        <v>5 to 6 years</v>
      </c>
    </row>
    <row r="94" spans="1:13">
      <c r="A94" t="s">
        <v>118</v>
      </c>
      <c r="B94" t="s">
        <v>21</v>
      </c>
      <c r="C94" t="s">
        <v>15</v>
      </c>
      <c r="D94" t="s">
        <v>16</v>
      </c>
      <c r="E94" t="s">
        <v>16</v>
      </c>
      <c r="F94">
        <v>25</v>
      </c>
      <c r="G94" t="s">
        <v>25</v>
      </c>
      <c r="H94" t="s">
        <v>34</v>
      </c>
      <c r="I94" t="s">
        <v>23</v>
      </c>
      <c r="J94">
        <v>57.36</v>
      </c>
      <c r="K94">
        <v>1500.29</v>
      </c>
      <c r="L94" t="s">
        <v>16</v>
      </c>
      <c r="M94" t="str">
        <f t="shared" si="2"/>
        <v>2 to 3 years</v>
      </c>
    </row>
    <row r="95" spans="1:13">
      <c r="A95" t="s">
        <v>119</v>
      </c>
      <c r="B95" t="s">
        <v>21</v>
      </c>
      <c r="C95" t="s">
        <v>15</v>
      </c>
      <c r="D95" t="s">
        <v>15</v>
      </c>
      <c r="E95" t="s">
        <v>15</v>
      </c>
      <c r="F95">
        <v>9</v>
      </c>
      <c r="G95" t="s">
        <v>17</v>
      </c>
      <c r="H95" t="s">
        <v>18</v>
      </c>
      <c r="I95" t="s">
        <v>23</v>
      </c>
      <c r="J95">
        <v>109.42</v>
      </c>
      <c r="K95">
        <v>925.08</v>
      </c>
      <c r="L95" t="s">
        <v>16</v>
      </c>
      <c r="M95" t="str">
        <f t="shared" si="2"/>
        <v>Up to 1 year</v>
      </c>
    </row>
    <row r="96" spans="1:13">
      <c r="A96" t="s">
        <v>120</v>
      </c>
      <c r="B96" t="s">
        <v>21</v>
      </c>
      <c r="C96" t="s">
        <v>15</v>
      </c>
      <c r="D96" t="s">
        <v>16</v>
      </c>
      <c r="E96" t="s">
        <v>16</v>
      </c>
      <c r="F96">
        <v>52</v>
      </c>
      <c r="G96" t="s">
        <v>22</v>
      </c>
      <c r="H96" t="s">
        <v>34</v>
      </c>
      <c r="I96" t="s">
        <v>26</v>
      </c>
      <c r="J96">
        <v>78.62</v>
      </c>
      <c r="K96">
        <v>3937.94</v>
      </c>
      <c r="L96" t="s">
        <v>16</v>
      </c>
      <c r="M96" t="str">
        <f t="shared" si="2"/>
        <v>4 to 5 years</v>
      </c>
    </row>
    <row r="97" spans="1:13">
      <c r="A97" t="s">
        <v>121</v>
      </c>
      <c r="B97" t="s">
        <v>21</v>
      </c>
      <c r="C97" t="s">
        <v>15</v>
      </c>
      <c r="D97" t="s">
        <v>15</v>
      </c>
      <c r="E97" t="s">
        <v>15</v>
      </c>
      <c r="F97">
        <v>58</v>
      </c>
      <c r="G97" t="s">
        <v>22</v>
      </c>
      <c r="H97" t="s">
        <v>18</v>
      </c>
      <c r="I97" t="s">
        <v>26</v>
      </c>
      <c r="J97">
        <v>90.11</v>
      </c>
      <c r="K97">
        <v>5168.34</v>
      </c>
      <c r="L97" t="s">
        <v>15</v>
      </c>
      <c r="M97" t="str">
        <f t="shared" si="2"/>
        <v>4 to 5 years</v>
      </c>
    </row>
    <row r="98" spans="1:13">
      <c r="A98" t="s">
        <v>122</v>
      </c>
      <c r="B98" t="s">
        <v>21</v>
      </c>
      <c r="C98" t="s">
        <v>15</v>
      </c>
      <c r="D98" t="s">
        <v>15</v>
      </c>
      <c r="E98" t="s">
        <v>15</v>
      </c>
      <c r="F98">
        <v>21</v>
      </c>
      <c r="G98" t="s">
        <v>17</v>
      </c>
      <c r="H98" t="s">
        <v>18</v>
      </c>
      <c r="I98" t="s">
        <v>23</v>
      </c>
      <c r="J98">
        <v>113.21</v>
      </c>
      <c r="K98">
        <v>2420.89</v>
      </c>
      <c r="L98" t="s">
        <v>15</v>
      </c>
      <c r="M98" t="str">
        <f t="shared" si="2"/>
        <v>1 to 2 years</v>
      </c>
    </row>
    <row r="99" spans="1:13">
      <c r="A99" t="s">
        <v>123</v>
      </c>
      <c r="B99" t="s">
        <v>21</v>
      </c>
      <c r="C99" t="s">
        <v>15</v>
      </c>
      <c r="D99" t="s">
        <v>16</v>
      </c>
      <c r="E99" t="s">
        <v>15</v>
      </c>
      <c r="F99">
        <v>50</v>
      </c>
      <c r="G99" t="s">
        <v>22</v>
      </c>
      <c r="H99" t="s">
        <v>18</v>
      </c>
      <c r="I99" t="s">
        <v>23</v>
      </c>
      <c r="J99">
        <v>54.09</v>
      </c>
      <c r="K99">
        <v>2651.84</v>
      </c>
      <c r="L99" t="s">
        <v>15</v>
      </c>
      <c r="M99" t="str">
        <f t="shared" si="2"/>
        <v>4 to 5 years</v>
      </c>
    </row>
    <row r="100" spans="1:13">
      <c r="A100" t="s">
        <v>124</v>
      </c>
      <c r="B100" t="s">
        <v>21</v>
      </c>
      <c r="C100" t="s">
        <v>15</v>
      </c>
      <c r="D100" t="s">
        <v>15</v>
      </c>
      <c r="E100" t="s">
        <v>15</v>
      </c>
      <c r="F100">
        <v>47</v>
      </c>
      <c r="G100" t="s">
        <v>17</v>
      </c>
      <c r="H100" t="s">
        <v>18</v>
      </c>
      <c r="I100" t="s">
        <v>36</v>
      </c>
      <c r="J100">
        <v>53.71</v>
      </c>
      <c r="K100">
        <v>2550.7800000000002</v>
      </c>
      <c r="L100" t="s">
        <v>15</v>
      </c>
      <c r="M100" t="str">
        <f t="shared" si="2"/>
        <v>3 to 4 years</v>
      </c>
    </row>
    <row r="101" spans="1:13">
      <c r="A101" t="s">
        <v>125</v>
      </c>
      <c r="B101" t="s">
        <v>14</v>
      </c>
      <c r="C101" t="s">
        <v>16</v>
      </c>
      <c r="D101" t="s">
        <v>16</v>
      </c>
      <c r="E101" t="s">
        <v>15</v>
      </c>
      <c r="F101">
        <v>20</v>
      </c>
      <c r="G101" t="s">
        <v>22</v>
      </c>
      <c r="H101" t="s">
        <v>34</v>
      </c>
      <c r="I101" t="s">
        <v>23</v>
      </c>
      <c r="J101">
        <v>20</v>
      </c>
      <c r="K101">
        <v>513.58000000000004</v>
      </c>
      <c r="L101" t="s">
        <v>15</v>
      </c>
      <c r="M101" t="str">
        <f t="shared" si="2"/>
        <v>1 to 2 years</v>
      </c>
    </row>
    <row r="102" spans="1:13">
      <c r="A102" t="s">
        <v>126</v>
      </c>
      <c r="B102" t="s">
        <v>14</v>
      </c>
      <c r="C102" t="s">
        <v>15</v>
      </c>
      <c r="D102" t="s">
        <v>16</v>
      </c>
      <c r="E102" t="s">
        <v>15</v>
      </c>
      <c r="F102">
        <v>21</v>
      </c>
      <c r="G102" t="s">
        <v>22</v>
      </c>
      <c r="H102" t="s">
        <v>15</v>
      </c>
      <c r="I102" t="s">
        <v>19</v>
      </c>
      <c r="J102">
        <v>76.930000000000007</v>
      </c>
      <c r="K102">
        <v>1608.09</v>
      </c>
      <c r="L102" t="s">
        <v>15</v>
      </c>
      <c r="M102" t="str">
        <f t="shared" si="2"/>
        <v>1 to 2 years</v>
      </c>
    </row>
    <row r="103" spans="1:13">
      <c r="A103" t="s">
        <v>127</v>
      </c>
      <c r="B103" t="s">
        <v>21</v>
      </c>
      <c r="C103" t="s">
        <v>15</v>
      </c>
      <c r="D103" t="s">
        <v>16</v>
      </c>
      <c r="E103" t="s">
        <v>15</v>
      </c>
      <c r="F103">
        <v>29</v>
      </c>
      <c r="G103" t="s">
        <v>22</v>
      </c>
      <c r="H103" t="s">
        <v>18</v>
      </c>
      <c r="I103" t="s">
        <v>36</v>
      </c>
      <c r="J103">
        <v>94.06</v>
      </c>
      <c r="K103">
        <v>2746.46</v>
      </c>
      <c r="L103" t="s">
        <v>15</v>
      </c>
      <c r="M103" t="str">
        <f t="shared" si="2"/>
        <v>2 to 3 years</v>
      </c>
    </row>
    <row r="104" spans="1:13">
      <c r="A104" t="s">
        <v>128</v>
      </c>
      <c r="B104" t="s">
        <v>21</v>
      </c>
      <c r="C104" t="s">
        <v>15</v>
      </c>
      <c r="D104" t="s">
        <v>16</v>
      </c>
      <c r="E104" t="s">
        <v>16</v>
      </c>
      <c r="F104">
        <v>24</v>
      </c>
      <c r="G104" t="s">
        <v>17</v>
      </c>
      <c r="H104" t="s">
        <v>18</v>
      </c>
      <c r="I104" t="s">
        <v>23</v>
      </c>
      <c r="J104">
        <v>98.1</v>
      </c>
      <c r="K104">
        <v>2409.19</v>
      </c>
      <c r="L104" t="s">
        <v>16</v>
      </c>
      <c r="M104" t="str">
        <f t="shared" si="2"/>
        <v>1 to 2 years</v>
      </c>
    </row>
    <row r="105" spans="1:13">
      <c r="A105" t="s">
        <v>129</v>
      </c>
      <c r="B105" t="s">
        <v>21</v>
      </c>
      <c r="C105" t="s">
        <v>16</v>
      </c>
      <c r="D105" t="s">
        <v>15</v>
      </c>
      <c r="E105" t="s">
        <v>15</v>
      </c>
      <c r="F105">
        <v>27</v>
      </c>
      <c r="G105" t="s">
        <v>17</v>
      </c>
      <c r="H105" t="s">
        <v>18</v>
      </c>
      <c r="I105" t="s">
        <v>36</v>
      </c>
      <c r="J105">
        <v>50.42</v>
      </c>
      <c r="K105">
        <v>1274.77</v>
      </c>
      <c r="L105" t="s">
        <v>15</v>
      </c>
      <c r="M105" t="str">
        <f t="shared" si="2"/>
        <v>2 to 3 years</v>
      </c>
    </row>
    <row r="106" spans="1:13">
      <c r="A106" t="s">
        <v>130</v>
      </c>
      <c r="B106" t="s">
        <v>21</v>
      </c>
      <c r="C106" t="s">
        <v>16</v>
      </c>
      <c r="D106" t="s">
        <v>15</v>
      </c>
      <c r="E106" t="s">
        <v>15</v>
      </c>
      <c r="F106">
        <v>64</v>
      </c>
      <c r="G106" t="s">
        <v>22</v>
      </c>
      <c r="H106" t="s">
        <v>18</v>
      </c>
      <c r="I106" t="s">
        <v>23</v>
      </c>
      <c r="J106">
        <v>39.89</v>
      </c>
      <c r="K106">
        <v>2491.12</v>
      </c>
      <c r="L106" t="s">
        <v>15</v>
      </c>
      <c r="M106" t="str">
        <f t="shared" si="2"/>
        <v>5 to 6 years</v>
      </c>
    </row>
    <row r="107" spans="1:13">
      <c r="A107" t="s">
        <v>131</v>
      </c>
      <c r="B107" t="s">
        <v>21</v>
      </c>
      <c r="C107" t="s">
        <v>15</v>
      </c>
      <c r="D107" t="s">
        <v>16</v>
      </c>
      <c r="E107" t="s">
        <v>15</v>
      </c>
      <c r="F107">
        <v>44</v>
      </c>
      <c r="G107" t="s">
        <v>22</v>
      </c>
      <c r="H107" t="s">
        <v>18</v>
      </c>
      <c r="I107" t="s">
        <v>19</v>
      </c>
      <c r="J107">
        <v>47.01</v>
      </c>
      <c r="K107">
        <v>2126.5300000000002</v>
      </c>
      <c r="L107" t="s">
        <v>15</v>
      </c>
      <c r="M107" t="str">
        <f t="shared" si="2"/>
        <v>3 to 4 years</v>
      </c>
    </row>
    <row r="108" spans="1:13">
      <c r="A108" t="s">
        <v>132</v>
      </c>
      <c r="B108" t="s">
        <v>21</v>
      </c>
      <c r="C108" t="s">
        <v>15</v>
      </c>
      <c r="D108" t="s">
        <v>15</v>
      </c>
      <c r="E108" t="s">
        <v>15</v>
      </c>
      <c r="F108">
        <v>67</v>
      </c>
      <c r="G108" t="s">
        <v>22</v>
      </c>
      <c r="H108" t="s">
        <v>18</v>
      </c>
      <c r="I108" t="s">
        <v>19</v>
      </c>
      <c r="J108">
        <v>56.94</v>
      </c>
      <c r="K108">
        <v>3817.94</v>
      </c>
      <c r="L108" t="s">
        <v>15</v>
      </c>
      <c r="M108" t="str">
        <f t="shared" si="2"/>
        <v>5 to 6 years</v>
      </c>
    </row>
    <row r="109" spans="1:13">
      <c r="A109" t="s">
        <v>133</v>
      </c>
      <c r="B109" t="s">
        <v>21</v>
      </c>
      <c r="C109" t="s">
        <v>15</v>
      </c>
      <c r="D109" t="s">
        <v>15</v>
      </c>
      <c r="E109" t="s">
        <v>15</v>
      </c>
      <c r="F109">
        <v>6</v>
      </c>
      <c r="G109" t="s">
        <v>22</v>
      </c>
      <c r="H109" t="s">
        <v>34</v>
      </c>
      <c r="I109" t="s">
        <v>36</v>
      </c>
      <c r="J109">
        <v>108.85</v>
      </c>
      <c r="K109">
        <v>662.84</v>
      </c>
      <c r="L109" t="s">
        <v>16</v>
      </c>
      <c r="M109" t="str">
        <f t="shared" si="2"/>
        <v>Up to 1 year</v>
      </c>
    </row>
    <row r="110" spans="1:13">
      <c r="A110" t="s">
        <v>134</v>
      </c>
      <c r="B110" t="s">
        <v>21</v>
      </c>
      <c r="C110" t="s">
        <v>15</v>
      </c>
      <c r="D110" t="s">
        <v>16</v>
      </c>
      <c r="E110" t="s">
        <v>16</v>
      </c>
      <c r="F110">
        <v>48</v>
      </c>
      <c r="G110" t="s">
        <v>22</v>
      </c>
      <c r="H110" t="s">
        <v>34</v>
      </c>
      <c r="I110" t="s">
        <v>23</v>
      </c>
      <c r="J110">
        <v>95</v>
      </c>
      <c r="K110">
        <v>4562.66</v>
      </c>
      <c r="L110" t="s">
        <v>15</v>
      </c>
      <c r="M110" t="str">
        <f t="shared" si="2"/>
        <v>3 to 4 years</v>
      </c>
    </row>
    <row r="111" spans="1:13">
      <c r="A111" t="s">
        <v>135</v>
      </c>
      <c r="B111" t="s">
        <v>14</v>
      </c>
      <c r="C111" t="s">
        <v>15</v>
      </c>
      <c r="D111" t="s">
        <v>15</v>
      </c>
      <c r="E111" t="s">
        <v>15</v>
      </c>
      <c r="F111">
        <v>8</v>
      </c>
      <c r="G111" t="s">
        <v>22</v>
      </c>
      <c r="H111" t="s">
        <v>18</v>
      </c>
      <c r="I111" t="s">
        <v>19</v>
      </c>
      <c r="J111">
        <v>68.540000000000006</v>
      </c>
      <c r="K111">
        <v>626.58000000000004</v>
      </c>
      <c r="L111" t="s">
        <v>15</v>
      </c>
      <c r="M111" t="str">
        <f t="shared" si="2"/>
        <v>Up to 1 year</v>
      </c>
    </row>
    <row r="112" spans="1:13">
      <c r="A112" t="s">
        <v>136</v>
      </c>
      <c r="B112" t="s">
        <v>21</v>
      </c>
      <c r="C112" t="s">
        <v>16</v>
      </c>
      <c r="D112" t="s">
        <v>16</v>
      </c>
      <c r="E112" t="s">
        <v>16</v>
      </c>
      <c r="F112">
        <v>35</v>
      </c>
      <c r="G112" t="s">
        <v>22</v>
      </c>
      <c r="H112" t="s">
        <v>34</v>
      </c>
      <c r="I112" t="s">
        <v>36</v>
      </c>
      <c r="J112">
        <v>77.48</v>
      </c>
      <c r="K112">
        <v>2746.66</v>
      </c>
      <c r="L112" t="s">
        <v>16</v>
      </c>
      <c r="M112" t="str">
        <f t="shared" si="2"/>
        <v>2 to 3 years</v>
      </c>
    </row>
    <row r="113" spans="1:13">
      <c r="A113" t="s">
        <v>137</v>
      </c>
      <c r="B113" t="s">
        <v>14</v>
      </c>
      <c r="C113" t="s">
        <v>15</v>
      </c>
      <c r="D113" t="s">
        <v>16</v>
      </c>
      <c r="E113" t="s">
        <v>16</v>
      </c>
      <c r="F113">
        <v>0</v>
      </c>
      <c r="G113" t="s">
        <v>22</v>
      </c>
      <c r="H113" t="s">
        <v>18</v>
      </c>
      <c r="I113" t="s">
        <v>19</v>
      </c>
      <c r="J113">
        <v>63.04</v>
      </c>
      <c r="K113">
        <v>35.909999999999997</v>
      </c>
      <c r="L113" t="s">
        <v>16</v>
      </c>
      <c r="M113" t="str">
        <f t="shared" si="2"/>
        <v>Just signed</v>
      </c>
    </row>
    <row r="114" spans="1:13">
      <c r="A114" t="s">
        <v>138</v>
      </c>
      <c r="B114" t="s">
        <v>21</v>
      </c>
      <c r="C114" t="s">
        <v>15</v>
      </c>
      <c r="D114" t="s">
        <v>15</v>
      </c>
      <c r="E114" t="s">
        <v>16</v>
      </c>
      <c r="F114">
        <v>9</v>
      </c>
      <c r="G114" t="s">
        <v>22</v>
      </c>
      <c r="H114" t="s">
        <v>34</v>
      </c>
      <c r="I114" t="s">
        <v>19</v>
      </c>
      <c r="J114">
        <v>79.11</v>
      </c>
      <c r="K114">
        <v>809.77</v>
      </c>
      <c r="L114" t="s">
        <v>16</v>
      </c>
      <c r="M114" t="str">
        <f t="shared" si="2"/>
        <v>Up to 1 year</v>
      </c>
    </row>
    <row r="115" spans="1:13">
      <c r="A115" t="s">
        <v>139</v>
      </c>
      <c r="B115" t="s">
        <v>21</v>
      </c>
      <c r="C115" t="s">
        <v>16</v>
      </c>
      <c r="D115" t="s">
        <v>15</v>
      </c>
      <c r="E115" t="s">
        <v>15</v>
      </c>
      <c r="F115">
        <v>35</v>
      </c>
      <c r="G115" t="s">
        <v>22</v>
      </c>
      <c r="H115" t="s">
        <v>18</v>
      </c>
      <c r="I115" t="s">
        <v>23</v>
      </c>
      <c r="J115">
        <v>51.55</v>
      </c>
      <c r="K115">
        <v>1932.78</v>
      </c>
      <c r="L115" t="s">
        <v>16</v>
      </c>
      <c r="M115" t="str">
        <f t="shared" si="2"/>
        <v>2 to 3 years</v>
      </c>
    </row>
    <row r="116" spans="1:13">
      <c r="A116" t="s">
        <v>140</v>
      </c>
      <c r="B116" t="s">
        <v>14</v>
      </c>
      <c r="C116" t="s">
        <v>15</v>
      </c>
      <c r="D116" t="s">
        <v>15</v>
      </c>
      <c r="E116" t="s">
        <v>15</v>
      </c>
      <c r="F116">
        <v>72</v>
      </c>
      <c r="G116" t="s">
        <v>22</v>
      </c>
      <c r="H116" t="s">
        <v>15</v>
      </c>
      <c r="I116" t="s">
        <v>26</v>
      </c>
      <c r="J116">
        <v>73.760000000000005</v>
      </c>
      <c r="K116">
        <v>5490.21</v>
      </c>
      <c r="L116" t="s">
        <v>15</v>
      </c>
      <c r="M116" t="str">
        <f t="shared" si="2"/>
        <v>5 to 6 years</v>
      </c>
    </row>
    <row r="117" spans="1:13">
      <c r="A117" t="s">
        <v>141</v>
      </c>
      <c r="B117" t="s">
        <v>21</v>
      </c>
      <c r="C117" t="s">
        <v>15</v>
      </c>
      <c r="D117" t="s">
        <v>16</v>
      </c>
      <c r="E117" t="s">
        <v>16</v>
      </c>
      <c r="F117">
        <v>45</v>
      </c>
      <c r="G117" t="s">
        <v>22</v>
      </c>
      <c r="H117" t="s">
        <v>15</v>
      </c>
      <c r="I117" t="s">
        <v>23</v>
      </c>
      <c r="J117">
        <v>33.76</v>
      </c>
      <c r="K117">
        <v>1472.88</v>
      </c>
      <c r="L117" t="s">
        <v>15</v>
      </c>
      <c r="M117" t="str">
        <f t="shared" si="2"/>
        <v>3 to 4 years</v>
      </c>
    </row>
    <row r="118" spans="1:13">
      <c r="A118" t="s">
        <v>142</v>
      </c>
      <c r="B118" t="s">
        <v>14</v>
      </c>
      <c r="C118" t="s">
        <v>16</v>
      </c>
      <c r="D118" t="s">
        <v>16</v>
      </c>
      <c r="E118" t="s">
        <v>15</v>
      </c>
      <c r="F118">
        <v>31</v>
      </c>
      <c r="G118" t="s">
        <v>22</v>
      </c>
      <c r="H118" t="s">
        <v>18</v>
      </c>
      <c r="I118" t="s">
        <v>23</v>
      </c>
      <c r="J118">
        <v>100.15</v>
      </c>
      <c r="K118">
        <v>3302.2</v>
      </c>
      <c r="L118" t="s">
        <v>16</v>
      </c>
      <c r="M118" t="str">
        <f t="shared" si="2"/>
        <v>2 to 3 years</v>
      </c>
    </row>
    <row r="119" spans="1:13">
      <c r="A119" t="s">
        <v>143</v>
      </c>
      <c r="B119" t="s">
        <v>21</v>
      </c>
      <c r="C119" t="s">
        <v>15</v>
      </c>
      <c r="D119" t="s">
        <v>15</v>
      </c>
      <c r="E119" t="s">
        <v>15</v>
      </c>
      <c r="F119">
        <v>31</v>
      </c>
      <c r="G119" t="s">
        <v>17</v>
      </c>
      <c r="H119" t="s">
        <v>18</v>
      </c>
      <c r="I119" t="s">
        <v>26</v>
      </c>
      <c r="J119">
        <v>69.31</v>
      </c>
      <c r="K119">
        <v>2060.87</v>
      </c>
      <c r="L119" t="s">
        <v>15</v>
      </c>
      <c r="M119" t="str">
        <f t="shared" si="2"/>
        <v>2 to 3 years</v>
      </c>
    </row>
    <row r="120" spans="1:13">
      <c r="A120" t="s">
        <v>144</v>
      </c>
      <c r="B120" t="s">
        <v>21</v>
      </c>
      <c r="C120" t="s">
        <v>15</v>
      </c>
      <c r="D120" t="s">
        <v>15</v>
      </c>
      <c r="E120" t="s">
        <v>16</v>
      </c>
      <c r="F120">
        <v>5</v>
      </c>
      <c r="G120" t="s">
        <v>22</v>
      </c>
      <c r="H120" t="s">
        <v>15</v>
      </c>
      <c r="I120" t="s">
        <v>23</v>
      </c>
      <c r="J120">
        <v>35.25</v>
      </c>
      <c r="K120">
        <v>331.07</v>
      </c>
      <c r="L120" t="s">
        <v>16</v>
      </c>
      <c r="M120" t="str">
        <f t="shared" si="2"/>
        <v>Up to 1 year</v>
      </c>
    </row>
    <row r="121" spans="1:13">
      <c r="A121" t="s">
        <v>145</v>
      </c>
      <c r="B121" t="s">
        <v>14</v>
      </c>
      <c r="C121" t="s">
        <v>15</v>
      </c>
      <c r="D121" t="s">
        <v>15</v>
      </c>
      <c r="E121" t="s">
        <v>15</v>
      </c>
      <c r="F121">
        <v>47</v>
      </c>
      <c r="G121" t="s">
        <v>22</v>
      </c>
      <c r="H121" t="s">
        <v>18</v>
      </c>
      <c r="I121" t="s">
        <v>36</v>
      </c>
      <c r="J121">
        <v>120.32</v>
      </c>
      <c r="K121">
        <v>5604.32</v>
      </c>
      <c r="L121" t="s">
        <v>15</v>
      </c>
      <c r="M121" t="str">
        <f t="shared" si="2"/>
        <v>3 to 4 years</v>
      </c>
    </row>
    <row r="122" spans="1:13">
      <c r="A122" t="s">
        <v>146</v>
      </c>
      <c r="B122" t="s">
        <v>21</v>
      </c>
      <c r="C122" t="s">
        <v>15</v>
      </c>
      <c r="D122" t="s">
        <v>15</v>
      </c>
      <c r="E122" t="s">
        <v>15</v>
      </c>
      <c r="F122">
        <v>37</v>
      </c>
      <c r="G122" t="s">
        <v>22</v>
      </c>
      <c r="H122" t="s">
        <v>34</v>
      </c>
      <c r="I122" t="s">
        <v>36</v>
      </c>
      <c r="J122">
        <v>74.42</v>
      </c>
      <c r="K122">
        <v>2748.02</v>
      </c>
      <c r="L122" t="s">
        <v>15</v>
      </c>
      <c r="M122" t="str">
        <f t="shared" si="2"/>
        <v>3 to 4 years</v>
      </c>
    </row>
    <row r="123" spans="1:13">
      <c r="A123" t="s">
        <v>147</v>
      </c>
      <c r="B123" t="s">
        <v>14</v>
      </c>
      <c r="C123" t="s">
        <v>15</v>
      </c>
      <c r="D123" t="s">
        <v>16</v>
      </c>
      <c r="E123" t="s">
        <v>15</v>
      </c>
      <c r="F123">
        <v>16</v>
      </c>
      <c r="G123" t="s">
        <v>17</v>
      </c>
      <c r="H123" t="s">
        <v>15</v>
      </c>
      <c r="I123" t="s">
        <v>26</v>
      </c>
      <c r="J123">
        <v>46.95</v>
      </c>
      <c r="K123">
        <v>752.69</v>
      </c>
      <c r="L123" t="s">
        <v>15</v>
      </c>
      <c r="M123" t="str">
        <f t="shared" si="2"/>
        <v>1 to 2 years</v>
      </c>
    </row>
    <row r="124" spans="1:13">
      <c r="A124" t="s">
        <v>148</v>
      </c>
      <c r="B124" t="s">
        <v>21</v>
      </c>
      <c r="C124" t="s">
        <v>15</v>
      </c>
      <c r="D124" t="s">
        <v>15</v>
      </c>
      <c r="E124" t="s">
        <v>15</v>
      </c>
      <c r="F124">
        <v>26</v>
      </c>
      <c r="G124" t="s">
        <v>25</v>
      </c>
      <c r="H124" t="s">
        <v>18</v>
      </c>
      <c r="I124" t="s">
        <v>36</v>
      </c>
      <c r="J124">
        <v>98.95</v>
      </c>
      <c r="K124">
        <v>2503.34</v>
      </c>
      <c r="L124" t="s">
        <v>15</v>
      </c>
      <c r="M124" t="str">
        <f t="shared" si="2"/>
        <v>2 to 3 years</v>
      </c>
    </row>
    <row r="125" spans="1:13">
      <c r="A125" t="s">
        <v>149</v>
      </c>
      <c r="B125" t="s">
        <v>14</v>
      </c>
      <c r="C125" t="s">
        <v>15</v>
      </c>
      <c r="D125" t="s">
        <v>16</v>
      </c>
      <c r="E125" t="s">
        <v>15</v>
      </c>
      <c r="F125">
        <v>53</v>
      </c>
      <c r="G125" t="s">
        <v>17</v>
      </c>
      <c r="H125" t="s">
        <v>18</v>
      </c>
      <c r="I125" t="s">
        <v>26</v>
      </c>
      <c r="J125">
        <v>46.5</v>
      </c>
      <c r="K125">
        <v>2471.44</v>
      </c>
      <c r="L125" t="s">
        <v>15</v>
      </c>
      <c r="M125" t="str">
        <f t="shared" si="2"/>
        <v>4 to 5 years</v>
      </c>
    </row>
    <row r="126" spans="1:13">
      <c r="A126" t="s">
        <v>150</v>
      </c>
      <c r="B126" t="s">
        <v>14</v>
      </c>
      <c r="C126" t="s">
        <v>15</v>
      </c>
      <c r="D126" t="s">
        <v>16</v>
      </c>
      <c r="E126" t="s">
        <v>15</v>
      </c>
      <c r="F126">
        <v>49</v>
      </c>
      <c r="G126" t="s">
        <v>17</v>
      </c>
      <c r="H126" t="s">
        <v>34</v>
      </c>
      <c r="I126" t="s">
        <v>23</v>
      </c>
      <c r="J126">
        <v>97.67</v>
      </c>
      <c r="K126">
        <v>4720.6000000000004</v>
      </c>
      <c r="L126" t="s">
        <v>16</v>
      </c>
      <c r="M126" t="str">
        <f t="shared" si="2"/>
        <v>4 to 5 years</v>
      </c>
    </row>
    <row r="127" spans="1:13">
      <c r="A127" t="s">
        <v>151</v>
      </c>
      <c r="B127" t="s">
        <v>21</v>
      </c>
      <c r="C127" t="s">
        <v>15</v>
      </c>
      <c r="D127" t="s">
        <v>15</v>
      </c>
      <c r="E127" t="s">
        <v>15</v>
      </c>
      <c r="F127">
        <v>34</v>
      </c>
      <c r="G127" t="s">
        <v>22</v>
      </c>
      <c r="H127" t="s">
        <v>34</v>
      </c>
      <c r="I127" t="s">
        <v>26</v>
      </c>
      <c r="J127">
        <v>66.510000000000005</v>
      </c>
      <c r="K127">
        <v>2162.54</v>
      </c>
      <c r="L127" t="s">
        <v>15</v>
      </c>
      <c r="M127" t="str">
        <f t="shared" si="2"/>
        <v>2 to 3 years</v>
      </c>
    </row>
    <row r="128" spans="1:13">
      <c r="A128" t="s">
        <v>152</v>
      </c>
      <c r="B128" t="s">
        <v>21</v>
      </c>
      <c r="C128" t="s">
        <v>15</v>
      </c>
      <c r="D128" t="s">
        <v>15</v>
      </c>
      <c r="E128" t="s">
        <v>15</v>
      </c>
      <c r="F128">
        <v>24</v>
      </c>
      <c r="G128" t="s">
        <v>17</v>
      </c>
      <c r="H128" t="s">
        <v>18</v>
      </c>
      <c r="I128" t="s">
        <v>23</v>
      </c>
      <c r="J128">
        <v>95.02</v>
      </c>
      <c r="K128">
        <v>2277.38</v>
      </c>
      <c r="L128" t="s">
        <v>15</v>
      </c>
      <c r="M128" t="str">
        <f t="shared" si="2"/>
        <v>1 to 2 years</v>
      </c>
    </row>
    <row r="129" spans="1:13">
      <c r="A129" t="s">
        <v>153</v>
      </c>
      <c r="B129" t="s">
        <v>14</v>
      </c>
      <c r="C129" t="s">
        <v>15</v>
      </c>
      <c r="D129" t="s">
        <v>15</v>
      </c>
      <c r="E129" t="s">
        <v>16</v>
      </c>
      <c r="F129">
        <v>27</v>
      </c>
      <c r="G129" t="s">
        <v>17</v>
      </c>
      <c r="H129" t="s">
        <v>18</v>
      </c>
      <c r="I129" t="s">
        <v>23</v>
      </c>
      <c r="J129">
        <v>41.3</v>
      </c>
      <c r="K129">
        <v>1242.29</v>
      </c>
      <c r="L129" t="s">
        <v>16</v>
      </c>
      <c r="M129" t="str">
        <f t="shared" si="2"/>
        <v>2 to 3 years</v>
      </c>
    </row>
    <row r="130" spans="1:13">
      <c r="A130" t="s">
        <v>154</v>
      </c>
      <c r="B130" t="s">
        <v>21</v>
      </c>
      <c r="C130" t="s">
        <v>16</v>
      </c>
      <c r="D130" t="s">
        <v>16</v>
      </c>
      <c r="E130" t="s">
        <v>15</v>
      </c>
      <c r="F130">
        <v>14</v>
      </c>
      <c r="G130" t="s">
        <v>22</v>
      </c>
      <c r="H130" t="s">
        <v>34</v>
      </c>
      <c r="I130" t="s">
        <v>36</v>
      </c>
      <c r="J130">
        <v>60.44</v>
      </c>
      <c r="K130">
        <v>825.84</v>
      </c>
      <c r="L130" t="s">
        <v>15</v>
      </c>
      <c r="M130" t="str">
        <f t="shared" si="2"/>
        <v>1 to 2 years</v>
      </c>
    </row>
    <row r="131" spans="1:13">
      <c r="A131" t="s">
        <v>155</v>
      </c>
      <c r="B131" t="s">
        <v>21</v>
      </c>
      <c r="C131" t="s">
        <v>15</v>
      </c>
      <c r="D131" t="s">
        <v>15</v>
      </c>
      <c r="E131" t="s">
        <v>15</v>
      </c>
      <c r="F131">
        <v>3</v>
      </c>
      <c r="G131" t="s">
        <v>22</v>
      </c>
      <c r="H131" t="s">
        <v>34</v>
      </c>
      <c r="I131" t="s">
        <v>19</v>
      </c>
      <c r="J131">
        <v>70.11</v>
      </c>
      <c r="K131">
        <v>285.61</v>
      </c>
      <c r="L131" t="s">
        <v>15</v>
      </c>
      <c r="M131" t="str">
        <f t="shared" ref="M131:M194" si="3">IF(F131=0,"Just signed",IF(F131&lt;=12,"Up to 1 year",IF(F131&lt;=24,"1 to 2 years",IF(F131&lt;=36,"2 to 3 years",IF(F131&lt;=48,"3 to 4 years",IF(F131&lt;=60,"4 to 5 years","5 to 6 years"))))))</f>
        <v>Up to 1 year</v>
      </c>
    </row>
    <row r="132" spans="1:13">
      <c r="A132" t="s">
        <v>156</v>
      </c>
      <c r="B132" t="s">
        <v>21</v>
      </c>
      <c r="C132" t="s">
        <v>15</v>
      </c>
      <c r="D132" t="s">
        <v>15</v>
      </c>
      <c r="E132" t="s">
        <v>16</v>
      </c>
      <c r="F132">
        <v>72</v>
      </c>
      <c r="G132" t="s">
        <v>22</v>
      </c>
      <c r="H132" t="s">
        <v>18</v>
      </c>
      <c r="I132" t="s">
        <v>36</v>
      </c>
      <c r="J132">
        <v>105.76</v>
      </c>
      <c r="K132">
        <v>7547.07</v>
      </c>
      <c r="L132" t="s">
        <v>15</v>
      </c>
      <c r="M132" t="str">
        <f t="shared" si="3"/>
        <v>5 to 6 years</v>
      </c>
    </row>
    <row r="133" spans="1:13">
      <c r="A133" t="s">
        <v>157</v>
      </c>
      <c r="B133" t="s">
        <v>14</v>
      </c>
      <c r="C133" t="s">
        <v>15</v>
      </c>
      <c r="D133" t="s">
        <v>16</v>
      </c>
      <c r="E133" t="s">
        <v>16</v>
      </c>
      <c r="F133">
        <v>26</v>
      </c>
      <c r="G133" t="s">
        <v>25</v>
      </c>
      <c r="H133" t="s">
        <v>18</v>
      </c>
      <c r="I133" t="s">
        <v>23</v>
      </c>
      <c r="J133">
        <v>97.01</v>
      </c>
      <c r="K133">
        <v>2419.58</v>
      </c>
      <c r="L133" t="s">
        <v>16</v>
      </c>
      <c r="M133" t="str">
        <f t="shared" si="3"/>
        <v>2 to 3 years</v>
      </c>
    </row>
    <row r="134" spans="1:13">
      <c r="A134" t="s">
        <v>158</v>
      </c>
      <c r="B134" t="s">
        <v>14</v>
      </c>
      <c r="C134" t="s">
        <v>15</v>
      </c>
      <c r="D134" t="s">
        <v>15</v>
      </c>
      <c r="E134" t="s">
        <v>15</v>
      </c>
      <c r="F134">
        <v>25</v>
      </c>
      <c r="G134" t="s">
        <v>22</v>
      </c>
      <c r="H134" t="s">
        <v>34</v>
      </c>
      <c r="I134" t="s">
        <v>26</v>
      </c>
      <c r="J134">
        <v>60.19</v>
      </c>
      <c r="K134">
        <v>1541.06</v>
      </c>
      <c r="L134" t="s">
        <v>16</v>
      </c>
      <c r="M134" t="str">
        <f t="shared" si="3"/>
        <v>2 to 3 years</v>
      </c>
    </row>
    <row r="135" spans="1:13">
      <c r="A135" t="s">
        <v>159</v>
      </c>
      <c r="B135" t="s">
        <v>14</v>
      </c>
      <c r="C135" t="s">
        <v>15</v>
      </c>
      <c r="D135" t="s">
        <v>16</v>
      </c>
      <c r="E135" t="s">
        <v>15</v>
      </c>
      <c r="F135">
        <v>18</v>
      </c>
      <c r="G135" t="s">
        <v>17</v>
      </c>
      <c r="H135" t="s">
        <v>15</v>
      </c>
      <c r="I135" t="s">
        <v>23</v>
      </c>
      <c r="J135">
        <v>62.95</v>
      </c>
      <c r="K135">
        <v>1273.55</v>
      </c>
      <c r="L135" t="s">
        <v>15</v>
      </c>
      <c r="M135" t="str">
        <f t="shared" si="3"/>
        <v>1 to 2 years</v>
      </c>
    </row>
    <row r="136" spans="1:13">
      <c r="A136" t="s">
        <v>160</v>
      </c>
      <c r="B136" t="s">
        <v>14</v>
      </c>
      <c r="C136" t="s">
        <v>16</v>
      </c>
      <c r="D136" t="s">
        <v>15</v>
      </c>
      <c r="E136" t="s">
        <v>15</v>
      </c>
      <c r="F136">
        <v>16</v>
      </c>
      <c r="G136" t="s">
        <v>22</v>
      </c>
      <c r="H136" t="s">
        <v>34</v>
      </c>
      <c r="I136" t="s">
        <v>26</v>
      </c>
      <c r="J136">
        <v>101.41</v>
      </c>
      <c r="K136">
        <v>1639.28</v>
      </c>
      <c r="L136" t="s">
        <v>16</v>
      </c>
      <c r="M136" t="str">
        <f t="shared" si="3"/>
        <v>1 to 2 years</v>
      </c>
    </row>
    <row r="137" spans="1:13">
      <c r="A137" t="s">
        <v>161</v>
      </c>
      <c r="B137" t="s">
        <v>14</v>
      </c>
      <c r="C137" t="s">
        <v>15</v>
      </c>
      <c r="D137" t="s">
        <v>16</v>
      </c>
      <c r="E137" t="s">
        <v>15</v>
      </c>
      <c r="F137">
        <v>42</v>
      </c>
      <c r="G137" t="s">
        <v>22</v>
      </c>
      <c r="H137" t="s">
        <v>18</v>
      </c>
      <c r="I137" t="s">
        <v>26</v>
      </c>
      <c r="J137">
        <v>75</v>
      </c>
      <c r="K137">
        <v>3216.13</v>
      </c>
      <c r="L137" t="s">
        <v>15</v>
      </c>
      <c r="M137" t="str">
        <f t="shared" si="3"/>
        <v>3 to 4 years</v>
      </c>
    </row>
    <row r="138" spans="1:13">
      <c r="A138" t="s">
        <v>162</v>
      </c>
      <c r="B138" t="s">
        <v>14</v>
      </c>
      <c r="C138" t="s">
        <v>15</v>
      </c>
      <c r="D138" t="s">
        <v>15</v>
      </c>
      <c r="E138" t="s">
        <v>16</v>
      </c>
      <c r="F138">
        <v>40</v>
      </c>
      <c r="G138" t="s">
        <v>22</v>
      </c>
      <c r="H138" t="s">
        <v>18</v>
      </c>
      <c r="I138" t="s">
        <v>26</v>
      </c>
      <c r="J138">
        <v>72.28</v>
      </c>
      <c r="K138">
        <v>3010.81</v>
      </c>
      <c r="L138" t="s">
        <v>16</v>
      </c>
      <c r="M138" t="str">
        <f t="shared" si="3"/>
        <v>3 to 4 years</v>
      </c>
    </row>
    <row r="139" spans="1:13">
      <c r="A139" t="s">
        <v>163</v>
      </c>
      <c r="B139" t="s">
        <v>14</v>
      </c>
      <c r="C139" t="s">
        <v>15</v>
      </c>
      <c r="D139" t="s">
        <v>15</v>
      </c>
      <c r="E139" t="s">
        <v>15</v>
      </c>
      <c r="F139">
        <v>41</v>
      </c>
      <c r="G139" t="s">
        <v>22</v>
      </c>
      <c r="H139" t="s">
        <v>34</v>
      </c>
      <c r="I139" t="s">
        <v>23</v>
      </c>
      <c r="J139">
        <v>22.76</v>
      </c>
      <c r="K139">
        <v>930.24</v>
      </c>
      <c r="L139" t="s">
        <v>15</v>
      </c>
      <c r="M139" t="str">
        <f t="shared" si="3"/>
        <v>3 to 4 years</v>
      </c>
    </row>
    <row r="140" spans="1:13">
      <c r="A140" t="s">
        <v>164</v>
      </c>
      <c r="B140" t="s">
        <v>14</v>
      </c>
      <c r="C140" t="s">
        <v>15</v>
      </c>
      <c r="D140" t="s">
        <v>16</v>
      </c>
      <c r="E140" t="s">
        <v>16</v>
      </c>
      <c r="F140">
        <v>49</v>
      </c>
      <c r="G140" t="s">
        <v>25</v>
      </c>
      <c r="H140" t="s">
        <v>18</v>
      </c>
      <c r="I140" t="s">
        <v>23</v>
      </c>
      <c r="J140">
        <v>73.02</v>
      </c>
      <c r="K140">
        <v>3565.81</v>
      </c>
      <c r="L140" t="s">
        <v>15</v>
      </c>
      <c r="M140" t="str">
        <f t="shared" si="3"/>
        <v>4 to 5 years</v>
      </c>
    </row>
    <row r="141" spans="1:13">
      <c r="A141" t="s">
        <v>165</v>
      </c>
      <c r="B141" t="s">
        <v>14</v>
      </c>
      <c r="C141" t="s">
        <v>15</v>
      </c>
      <c r="D141" t="s">
        <v>16</v>
      </c>
      <c r="E141" t="s">
        <v>15</v>
      </c>
      <c r="F141">
        <v>39</v>
      </c>
      <c r="G141" t="s">
        <v>17</v>
      </c>
      <c r="H141" t="s">
        <v>18</v>
      </c>
      <c r="I141" t="s">
        <v>23</v>
      </c>
      <c r="J141">
        <v>36.51</v>
      </c>
      <c r="K141">
        <v>1461.66</v>
      </c>
      <c r="L141" t="s">
        <v>15</v>
      </c>
      <c r="M141" t="str">
        <f t="shared" si="3"/>
        <v>3 to 4 years</v>
      </c>
    </row>
    <row r="142" spans="1:13">
      <c r="A142" t="s">
        <v>166</v>
      </c>
      <c r="B142" t="s">
        <v>21</v>
      </c>
      <c r="C142" t="s">
        <v>16</v>
      </c>
      <c r="D142" t="s">
        <v>15</v>
      </c>
      <c r="E142" t="s">
        <v>15</v>
      </c>
      <c r="F142">
        <v>38</v>
      </c>
      <c r="G142" t="s">
        <v>22</v>
      </c>
      <c r="H142" t="s">
        <v>18</v>
      </c>
      <c r="I142" t="s">
        <v>26</v>
      </c>
      <c r="J142">
        <v>77.14</v>
      </c>
      <c r="K142">
        <v>2983.32</v>
      </c>
      <c r="L142" t="s">
        <v>16</v>
      </c>
      <c r="M142" t="str">
        <f t="shared" si="3"/>
        <v>3 to 4 years</v>
      </c>
    </row>
    <row r="143" spans="1:13">
      <c r="A143" t="s">
        <v>167</v>
      </c>
      <c r="B143" t="s">
        <v>14</v>
      </c>
      <c r="C143" t="s">
        <v>15</v>
      </c>
      <c r="D143" t="s">
        <v>16</v>
      </c>
      <c r="E143" t="s">
        <v>15</v>
      </c>
      <c r="F143">
        <v>22</v>
      </c>
      <c r="G143" t="s">
        <v>25</v>
      </c>
      <c r="H143" t="s">
        <v>34</v>
      </c>
      <c r="I143" t="s">
        <v>36</v>
      </c>
      <c r="J143">
        <v>94.7</v>
      </c>
      <c r="K143">
        <v>1971.48</v>
      </c>
      <c r="L143" t="s">
        <v>15</v>
      </c>
      <c r="M143" t="str">
        <f t="shared" si="3"/>
        <v>1 to 2 years</v>
      </c>
    </row>
    <row r="144" spans="1:13">
      <c r="A144" t="s">
        <v>168</v>
      </c>
      <c r="B144" t="s">
        <v>21</v>
      </c>
      <c r="C144" t="s">
        <v>15</v>
      </c>
      <c r="D144" t="s">
        <v>16</v>
      </c>
      <c r="E144" t="s">
        <v>15</v>
      </c>
      <c r="F144">
        <v>51</v>
      </c>
      <c r="G144" t="s">
        <v>22</v>
      </c>
      <c r="H144" t="s">
        <v>34</v>
      </c>
      <c r="I144" t="s">
        <v>23</v>
      </c>
      <c r="J144">
        <v>20</v>
      </c>
      <c r="K144">
        <v>1043.6600000000001</v>
      </c>
      <c r="L144" t="s">
        <v>15</v>
      </c>
      <c r="M144" t="str">
        <f t="shared" si="3"/>
        <v>4 to 5 years</v>
      </c>
    </row>
    <row r="145" spans="1:13">
      <c r="A145" t="s">
        <v>169</v>
      </c>
      <c r="B145" t="s">
        <v>21</v>
      </c>
      <c r="C145" t="s">
        <v>15</v>
      </c>
      <c r="D145" t="s">
        <v>16</v>
      </c>
      <c r="E145" t="s">
        <v>15</v>
      </c>
      <c r="F145">
        <v>46</v>
      </c>
      <c r="G145" t="s">
        <v>25</v>
      </c>
      <c r="H145" t="s">
        <v>34</v>
      </c>
      <c r="I145" t="s">
        <v>26</v>
      </c>
      <c r="J145">
        <v>100.86</v>
      </c>
      <c r="K145">
        <v>4639.51</v>
      </c>
      <c r="L145" t="s">
        <v>15</v>
      </c>
      <c r="M145" t="str">
        <f t="shared" si="3"/>
        <v>3 to 4 years</v>
      </c>
    </row>
    <row r="146" spans="1:13">
      <c r="A146" t="s">
        <v>170</v>
      </c>
      <c r="B146" t="s">
        <v>21</v>
      </c>
      <c r="C146" t="s">
        <v>16</v>
      </c>
      <c r="D146" t="s">
        <v>16</v>
      </c>
      <c r="E146" t="s">
        <v>15</v>
      </c>
      <c r="F146">
        <v>62</v>
      </c>
      <c r="G146" t="s">
        <v>22</v>
      </c>
      <c r="H146" t="s">
        <v>18</v>
      </c>
      <c r="I146" t="s">
        <v>36</v>
      </c>
      <c r="J146">
        <v>71.739999999999995</v>
      </c>
      <c r="K146">
        <v>4384.72</v>
      </c>
      <c r="L146" t="s">
        <v>15</v>
      </c>
      <c r="M146" t="str">
        <f t="shared" si="3"/>
        <v>5 to 6 years</v>
      </c>
    </row>
    <row r="147" spans="1:13">
      <c r="A147" t="s">
        <v>171</v>
      </c>
      <c r="B147" t="s">
        <v>14</v>
      </c>
      <c r="C147" t="s">
        <v>15</v>
      </c>
      <c r="D147" t="s">
        <v>15</v>
      </c>
      <c r="E147" t="s">
        <v>15</v>
      </c>
      <c r="F147">
        <v>68</v>
      </c>
      <c r="G147" t="s">
        <v>22</v>
      </c>
      <c r="H147" t="s">
        <v>18</v>
      </c>
      <c r="I147" t="s">
        <v>19</v>
      </c>
      <c r="J147">
        <v>79.319999999999993</v>
      </c>
      <c r="K147">
        <v>5388.18</v>
      </c>
      <c r="L147" t="s">
        <v>15</v>
      </c>
      <c r="M147" t="str">
        <f t="shared" si="3"/>
        <v>5 to 6 years</v>
      </c>
    </row>
    <row r="148" spans="1:13">
      <c r="A148" t="s">
        <v>172</v>
      </c>
      <c r="B148" t="s">
        <v>14</v>
      </c>
      <c r="C148" t="s">
        <v>15</v>
      </c>
      <c r="D148" t="s">
        <v>15</v>
      </c>
      <c r="E148" t="s">
        <v>15</v>
      </c>
      <c r="F148">
        <v>42</v>
      </c>
      <c r="G148" t="s">
        <v>22</v>
      </c>
      <c r="H148" t="s">
        <v>18</v>
      </c>
      <c r="I148" t="s">
        <v>26</v>
      </c>
      <c r="J148">
        <v>67.44</v>
      </c>
      <c r="K148">
        <v>2739.25</v>
      </c>
      <c r="L148" t="s">
        <v>15</v>
      </c>
      <c r="M148" t="str">
        <f t="shared" si="3"/>
        <v>3 to 4 years</v>
      </c>
    </row>
    <row r="149" spans="1:13">
      <c r="A149" t="s">
        <v>173</v>
      </c>
      <c r="B149" t="s">
        <v>14</v>
      </c>
      <c r="C149" t="s">
        <v>15</v>
      </c>
      <c r="D149" t="s">
        <v>16</v>
      </c>
      <c r="E149" t="s">
        <v>15</v>
      </c>
      <c r="F149">
        <v>47</v>
      </c>
      <c r="G149" t="s">
        <v>22</v>
      </c>
      <c r="H149" t="s">
        <v>18</v>
      </c>
      <c r="I149" t="s">
        <v>36</v>
      </c>
      <c r="J149">
        <v>37.17</v>
      </c>
      <c r="K149">
        <v>1626.12</v>
      </c>
      <c r="L149" t="s">
        <v>16</v>
      </c>
      <c r="M149" t="str">
        <f t="shared" si="3"/>
        <v>3 to 4 years</v>
      </c>
    </row>
    <row r="150" spans="1:13">
      <c r="A150" t="s">
        <v>174</v>
      </c>
      <c r="B150" t="s">
        <v>14</v>
      </c>
      <c r="C150" t="s">
        <v>15</v>
      </c>
      <c r="D150" t="s">
        <v>16</v>
      </c>
      <c r="E150" t="s">
        <v>15</v>
      </c>
      <c r="F150">
        <v>33</v>
      </c>
      <c r="G150" t="s">
        <v>22</v>
      </c>
      <c r="H150" t="s">
        <v>15</v>
      </c>
      <c r="I150" t="s">
        <v>23</v>
      </c>
      <c r="J150">
        <v>35.43</v>
      </c>
      <c r="K150">
        <v>1174.54</v>
      </c>
      <c r="L150" t="s">
        <v>15</v>
      </c>
      <c r="M150" t="str">
        <f t="shared" si="3"/>
        <v>2 to 3 years</v>
      </c>
    </row>
    <row r="151" spans="1:13">
      <c r="A151" t="s">
        <v>175</v>
      </c>
      <c r="B151" t="s">
        <v>21</v>
      </c>
      <c r="C151" t="s">
        <v>15</v>
      </c>
      <c r="D151" t="s">
        <v>16</v>
      </c>
      <c r="E151" t="s">
        <v>15</v>
      </c>
      <c r="F151">
        <v>39</v>
      </c>
      <c r="G151" t="s">
        <v>17</v>
      </c>
      <c r="H151" t="s">
        <v>18</v>
      </c>
      <c r="I151" t="s">
        <v>23</v>
      </c>
      <c r="J151">
        <v>132.44</v>
      </c>
      <c r="K151">
        <v>5237.33</v>
      </c>
      <c r="L151" t="s">
        <v>15</v>
      </c>
      <c r="M151" t="str">
        <f t="shared" si="3"/>
        <v>3 to 4 years</v>
      </c>
    </row>
    <row r="152" spans="1:13">
      <c r="A152" t="s">
        <v>176</v>
      </c>
      <c r="B152" t="s">
        <v>14</v>
      </c>
      <c r="C152" t="s">
        <v>16</v>
      </c>
      <c r="D152" t="s">
        <v>16</v>
      </c>
      <c r="E152" t="s">
        <v>15</v>
      </c>
      <c r="F152">
        <v>60</v>
      </c>
      <c r="G152" t="s">
        <v>25</v>
      </c>
      <c r="H152" t="s">
        <v>34</v>
      </c>
      <c r="I152" t="s">
        <v>23</v>
      </c>
      <c r="J152">
        <v>42.6</v>
      </c>
      <c r="K152">
        <v>2528.2199999999998</v>
      </c>
      <c r="L152" t="s">
        <v>15</v>
      </c>
      <c r="M152" t="str">
        <f t="shared" si="3"/>
        <v>4 to 5 years</v>
      </c>
    </row>
    <row r="153" spans="1:13">
      <c r="A153" t="s">
        <v>177</v>
      </c>
      <c r="B153" t="s">
        <v>14</v>
      </c>
      <c r="C153" t="s">
        <v>15</v>
      </c>
      <c r="D153" t="s">
        <v>15</v>
      </c>
      <c r="E153" t="s">
        <v>16</v>
      </c>
      <c r="F153">
        <v>49</v>
      </c>
      <c r="G153" t="s">
        <v>17</v>
      </c>
      <c r="H153" t="s">
        <v>34</v>
      </c>
      <c r="I153" t="s">
        <v>36</v>
      </c>
      <c r="J153">
        <v>30.29</v>
      </c>
      <c r="K153">
        <v>1407.35</v>
      </c>
      <c r="L153" t="s">
        <v>15</v>
      </c>
      <c r="M153" t="str">
        <f t="shared" si="3"/>
        <v>4 to 5 years</v>
      </c>
    </row>
    <row r="154" spans="1:13">
      <c r="A154" t="s">
        <v>178</v>
      </c>
      <c r="B154" t="s">
        <v>14</v>
      </c>
      <c r="C154" t="s">
        <v>15</v>
      </c>
      <c r="D154" t="s">
        <v>15</v>
      </c>
      <c r="E154" t="s">
        <v>15</v>
      </c>
      <c r="F154">
        <v>66</v>
      </c>
      <c r="G154" t="s">
        <v>22</v>
      </c>
      <c r="H154" t="s">
        <v>18</v>
      </c>
      <c r="I154" t="s">
        <v>36</v>
      </c>
      <c r="J154">
        <v>83.53</v>
      </c>
      <c r="K154">
        <v>5448.56</v>
      </c>
      <c r="L154" t="s">
        <v>15</v>
      </c>
      <c r="M154" t="str">
        <f t="shared" si="3"/>
        <v>5 to 6 years</v>
      </c>
    </row>
    <row r="155" spans="1:13">
      <c r="A155" t="s">
        <v>179</v>
      </c>
      <c r="B155" t="s">
        <v>14</v>
      </c>
      <c r="C155" t="s">
        <v>15</v>
      </c>
      <c r="D155" t="s">
        <v>16</v>
      </c>
      <c r="E155" t="s">
        <v>15</v>
      </c>
      <c r="F155">
        <v>61</v>
      </c>
      <c r="G155" t="s">
        <v>22</v>
      </c>
      <c r="H155" t="s">
        <v>34</v>
      </c>
      <c r="I155" t="s">
        <v>26</v>
      </c>
      <c r="J155">
        <v>67.86</v>
      </c>
      <c r="K155">
        <v>4183.38</v>
      </c>
      <c r="L155" t="s">
        <v>15</v>
      </c>
      <c r="M155" t="str">
        <f t="shared" si="3"/>
        <v>5 to 6 years</v>
      </c>
    </row>
    <row r="156" spans="1:13">
      <c r="A156" t="s">
        <v>180</v>
      </c>
      <c r="B156" t="s">
        <v>14</v>
      </c>
      <c r="C156" t="s">
        <v>15</v>
      </c>
      <c r="D156" t="s">
        <v>16</v>
      </c>
      <c r="E156" t="s">
        <v>16</v>
      </c>
      <c r="F156">
        <v>57</v>
      </c>
      <c r="G156" t="s">
        <v>22</v>
      </c>
      <c r="H156" t="s">
        <v>34</v>
      </c>
      <c r="I156" t="s">
        <v>23</v>
      </c>
      <c r="J156">
        <v>61.92</v>
      </c>
      <c r="K156">
        <v>3662.83</v>
      </c>
      <c r="L156" t="s">
        <v>16</v>
      </c>
      <c r="M156" t="str">
        <f t="shared" si="3"/>
        <v>4 to 5 years</v>
      </c>
    </row>
    <row r="157" spans="1:13">
      <c r="A157" t="s">
        <v>181</v>
      </c>
      <c r="B157" t="s">
        <v>21</v>
      </c>
      <c r="C157" t="s">
        <v>16</v>
      </c>
      <c r="D157" t="s">
        <v>16</v>
      </c>
      <c r="E157" t="s">
        <v>16</v>
      </c>
      <c r="F157">
        <v>32</v>
      </c>
      <c r="G157" t="s">
        <v>22</v>
      </c>
      <c r="H157" t="s">
        <v>18</v>
      </c>
      <c r="I157" t="s">
        <v>19</v>
      </c>
      <c r="J157">
        <v>80.36</v>
      </c>
      <c r="K157">
        <v>2633.16</v>
      </c>
      <c r="L157" t="s">
        <v>15</v>
      </c>
      <c r="M157" t="str">
        <f t="shared" si="3"/>
        <v>2 to 3 years</v>
      </c>
    </row>
    <row r="158" spans="1:13">
      <c r="A158" t="s">
        <v>182</v>
      </c>
      <c r="B158" t="s">
        <v>14</v>
      </c>
      <c r="C158" t="s">
        <v>15</v>
      </c>
      <c r="D158" t="s">
        <v>15</v>
      </c>
      <c r="E158" t="s">
        <v>16</v>
      </c>
      <c r="F158">
        <v>15</v>
      </c>
      <c r="G158" t="s">
        <v>17</v>
      </c>
      <c r="H158" t="s">
        <v>18</v>
      </c>
      <c r="I158" t="s">
        <v>23</v>
      </c>
      <c r="J158">
        <v>96.11</v>
      </c>
      <c r="K158">
        <v>1545.71</v>
      </c>
      <c r="L158" t="s">
        <v>15</v>
      </c>
      <c r="M158" t="str">
        <f t="shared" si="3"/>
        <v>1 to 2 years</v>
      </c>
    </row>
    <row r="159" spans="1:13">
      <c r="A159" t="s">
        <v>183</v>
      </c>
      <c r="B159" t="s">
        <v>21</v>
      </c>
      <c r="C159" t="s">
        <v>15</v>
      </c>
      <c r="D159" t="s">
        <v>16</v>
      </c>
      <c r="E159" t="s">
        <v>15</v>
      </c>
      <c r="F159">
        <v>47</v>
      </c>
      <c r="G159" t="s">
        <v>22</v>
      </c>
      <c r="H159" t="s">
        <v>34</v>
      </c>
      <c r="I159" t="s">
        <v>23</v>
      </c>
      <c r="J159">
        <v>55.32</v>
      </c>
      <c r="K159">
        <v>2516.23</v>
      </c>
      <c r="L159" t="s">
        <v>15</v>
      </c>
      <c r="M159" t="str">
        <f t="shared" si="3"/>
        <v>3 to 4 years</v>
      </c>
    </row>
    <row r="160" spans="1:13">
      <c r="A160" t="s">
        <v>184</v>
      </c>
      <c r="B160" t="s">
        <v>14</v>
      </c>
      <c r="C160" t="s">
        <v>15</v>
      </c>
      <c r="D160" t="s">
        <v>15</v>
      </c>
      <c r="E160" t="s">
        <v>15</v>
      </c>
      <c r="F160">
        <v>9</v>
      </c>
      <c r="G160" t="s">
        <v>22</v>
      </c>
      <c r="H160" t="s">
        <v>18</v>
      </c>
      <c r="I160" t="s">
        <v>26</v>
      </c>
      <c r="J160">
        <v>84.86</v>
      </c>
      <c r="K160">
        <v>757.83</v>
      </c>
      <c r="L160" t="s">
        <v>16</v>
      </c>
      <c r="M160" t="str">
        <f t="shared" si="3"/>
        <v>Up to 1 year</v>
      </c>
    </row>
    <row r="161" spans="1:13">
      <c r="A161" t="s">
        <v>185</v>
      </c>
      <c r="B161" t="s">
        <v>21</v>
      </c>
      <c r="C161" t="s">
        <v>15</v>
      </c>
      <c r="D161" t="s">
        <v>16</v>
      </c>
      <c r="E161" t="s">
        <v>15</v>
      </c>
      <c r="F161">
        <v>37</v>
      </c>
      <c r="G161" t="s">
        <v>22</v>
      </c>
      <c r="H161" t="s">
        <v>18</v>
      </c>
      <c r="I161" t="s">
        <v>36</v>
      </c>
      <c r="J161">
        <v>105.6</v>
      </c>
      <c r="K161">
        <v>3988.7</v>
      </c>
      <c r="L161" t="s">
        <v>15</v>
      </c>
      <c r="M161" t="str">
        <f t="shared" si="3"/>
        <v>3 to 4 years</v>
      </c>
    </row>
    <row r="162" spans="1:13">
      <c r="A162" t="s">
        <v>186</v>
      </c>
      <c r="B162" t="s">
        <v>14</v>
      </c>
      <c r="C162" t="s">
        <v>15</v>
      </c>
      <c r="D162" t="s">
        <v>15</v>
      </c>
      <c r="E162" t="s">
        <v>15</v>
      </c>
      <c r="F162">
        <v>18</v>
      </c>
      <c r="G162" t="s">
        <v>25</v>
      </c>
      <c r="H162" t="s">
        <v>18</v>
      </c>
      <c r="I162" t="s">
        <v>36</v>
      </c>
      <c r="J162">
        <v>55.12</v>
      </c>
      <c r="K162">
        <v>880.23</v>
      </c>
      <c r="L162" t="s">
        <v>15</v>
      </c>
      <c r="M162" t="str">
        <f t="shared" si="3"/>
        <v>1 to 2 years</v>
      </c>
    </row>
    <row r="163" spans="1:13">
      <c r="A163" t="s">
        <v>187</v>
      </c>
      <c r="B163" t="s">
        <v>14</v>
      </c>
      <c r="C163" t="s">
        <v>15</v>
      </c>
      <c r="D163" t="s">
        <v>16</v>
      </c>
      <c r="E163" t="s">
        <v>15</v>
      </c>
      <c r="F163">
        <v>35</v>
      </c>
      <c r="G163" t="s">
        <v>22</v>
      </c>
      <c r="H163" t="s">
        <v>34</v>
      </c>
      <c r="I163" t="s">
        <v>26</v>
      </c>
      <c r="J163">
        <v>20</v>
      </c>
      <c r="K163">
        <v>647.33000000000004</v>
      </c>
      <c r="L163" t="s">
        <v>15</v>
      </c>
      <c r="M163" t="str">
        <f t="shared" si="3"/>
        <v>2 to 3 years</v>
      </c>
    </row>
    <row r="164" spans="1:13">
      <c r="A164" t="s">
        <v>188</v>
      </c>
      <c r="B164" t="s">
        <v>21</v>
      </c>
      <c r="C164" t="s">
        <v>15</v>
      </c>
      <c r="D164" t="s">
        <v>15</v>
      </c>
      <c r="E164" t="s">
        <v>15</v>
      </c>
      <c r="F164">
        <v>58</v>
      </c>
      <c r="G164" t="s">
        <v>22</v>
      </c>
      <c r="H164" t="s">
        <v>34</v>
      </c>
      <c r="I164" t="s">
        <v>23</v>
      </c>
      <c r="J164">
        <v>86.77</v>
      </c>
      <c r="K164">
        <v>5108.0200000000004</v>
      </c>
      <c r="L164" t="s">
        <v>15</v>
      </c>
      <c r="M164" t="str">
        <f t="shared" si="3"/>
        <v>4 to 5 years</v>
      </c>
    </row>
    <row r="165" spans="1:13">
      <c r="A165" t="s">
        <v>189</v>
      </c>
      <c r="B165" t="s">
        <v>21</v>
      </c>
      <c r="C165" t="s">
        <v>15</v>
      </c>
      <c r="D165" t="s">
        <v>16</v>
      </c>
      <c r="E165" t="s">
        <v>15</v>
      </c>
      <c r="F165">
        <v>62</v>
      </c>
      <c r="G165" t="s">
        <v>22</v>
      </c>
      <c r="H165" t="s">
        <v>18</v>
      </c>
      <c r="I165" t="s">
        <v>23</v>
      </c>
      <c r="J165">
        <v>140</v>
      </c>
      <c r="K165">
        <v>8700.67</v>
      </c>
      <c r="L165" t="s">
        <v>15</v>
      </c>
      <c r="M165" t="str">
        <f t="shared" si="3"/>
        <v>5 to 6 years</v>
      </c>
    </row>
    <row r="166" spans="1:13">
      <c r="A166" t="s">
        <v>190</v>
      </c>
      <c r="B166" t="s">
        <v>21</v>
      </c>
      <c r="C166" t="s">
        <v>16</v>
      </c>
      <c r="D166" t="s">
        <v>16</v>
      </c>
      <c r="E166" t="s">
        <v>15</v>
      </c>
      <c r="F166">
        <v>45</v>
      </c>
      <c r="G166" t="s">
        <v>22</v>
      </c>
      <c r="H166" t="s">
        <v>18</v>
      </c>
      <c r="I166" t="s">
        <v>23</v>
      </c>
      <c r="J166">
        <v>79.819999999999993</v>
      </c>
      <c r="K166">
        <v>3514.69</v>
      </c>
      <c r="L166" t="s">
        <v>15</v>
      </c>
      <c r="M166" t="str">
        <f t="shared" si="3"/>
        <v>3 to 4 years</v>
      </c>
    </row>
    <row r="167" spans="1:13">
      <c r="A167" t="s">
        <v>191</v>
      </c>
      <c r="B167" t="s">
        <v>14</v>
      </c>
      <c r="C167" t="s">
        <v>16</v>
      </c>
      <c r="D167" t="s">
        <v>16</v>
      </c>
      <c r="E167" t="s">
        <v>15</v>
      </c>
      <c r="F167">
        <v>2</v>
      </c>
      <c r="G167" t="s">
        <v>22</v>
      </c>
      <c r="H167" t="s">
        <v>15</v>
      </c>
      <c r="I167" t="s">
        <v>26</v>
      </c>
      <c r="J167">
        <v>60.05</v>
      </c>
      <c r="K167">
        <v>30.024999999999999</v>
      </c>
      <c r="L167" t="s">
        <v>15</v>
      </c>
      <c r="M167" t="str">
        <f t="shared" si="3"/>
        <v>Up to 1 year</v>
      </c>
    </row>
    <row r="168" spans="1:13">
      <c r="A168" t="s">
        <v>192</v>
      </c>
      <c r="B168" t="s">
        <v>21</v>
      </c>
      <c r="C168" t="s">
        <v>15</v>
      </c>
      <c r="D168" t="s">
        <v>15</v>
      </c>
      <c r="E168" t="s">
        <v>15</v>
      </c>
      <c r="F168">
        <v>64</v>
      </c>
      <c r="G168" t="s">
        <v>22</v>
      </c>
      <c r="H168" t="s">
        <v>18</v>
      </c>
      <c r="I168" t="s">
        <v>36</v>
      </c>
      <c r="J168">
        <v>72.599999999999994</v>
      </c>
      <c r="K168">
        <v>4753.3900000000003</v>
      </c>
      <c r="L168" t="s">
        <v>15</v>
      </c>
      <c r="M168" t="str">
        <f t="shared" si="3"/>
        <v>5 to 6 years</v>
      </c>
    </row>
    <row r="169" spans="1:13">
      <c r="A169" t="s">
        <v>193</v>
      </c>
      <c r="B169" t="s">
        <v>14</v>
      </c>
      <c r="C169" t="s">
        <v>15</v>
      </c>
      <c r="D169" t="s">
        <v>16</v>
      </c>
      <c r="E169" t="s">
        <v>16</v>
      </c>
      <c r="F169">
        <v>7</v>
      </c>
      <c r="G169" t="s">
        <v>17</v>
      </c>
      <c r="H169" t="s">
        <v>34</v>
      </c>
      <c r="I169" t="s">
        <v>19</v>
      </c>
      <c r="J169">
        <v>109.7</v>
      </c>
      <c r="K169">
        <v>603.63</v>
      </c>
      <c r="L169" t="s">
        <v>15</v>
      </c>
      <c r="M169" t="str">
        <f t="shared" si="3"/>
        <v>Up to 1 year</v>
      </c>
    </row>
    <row r="170" spans="1:13">
      <c r="A170" t="s">
        <v>194</v>
      </c>
      <c r="B170" t="s">
        <v>14</v>
      </c>
      <c r="C170" t="s">
        <v>15</v>
      </c>
      <c r="D170" t="s">
        <v>15</v>
      </c>
      <c r="E170" t="s">
        <v>15</v>
      </c>
      <c r="F170">
        <v>50</v>
      </c>
      <c r="G170" t="s">
        <v>22</v>
      </c>
      <c r="H170" t="s">
        <v>34</v>
      </c>
      <c r="I170" t="s">
        <v>19</v>
      </c>
      <c r="J170">
        <v>68.06</v>
      </c>
      <c r="K170">
        <v>3453.59</v>
      </c>
      <c r="L170" t="s">
        <v>15</v>
      </c>
      <c r="M170" t="str">
        <f t="shared" si="3"/>
        <v>4 to 5 years</v>
      </c>
    </row>
    <row r="171" spans="1:13">
      <c r="A171" t="s">
        <v>195</v>
      </c>
      <c r="B171" t="s">
        <v>21</v>
      </c>
      <c r="C171" t="s">
        <v>15</v>
      </c>
      <c r="D171" t="s">
        <v>15</v>
      </c>
      <c r="E171" t="s">
        <v>15</v>
      </c>
      <c r="F171">
        <v>72</v>
      </c>
      <c r="G171" t="s">
        <v>17</v>
      </c>
      <c r="H171" t="s">
        <v>18</v>
      </c>
      <c r="I171" t="s">
        <v>23</v>
      </c>
      <c r="J171">
        <v>75.34</v>
      </c>
      <c r="K171">
        <v>5381.84</v>
      </c>
      <c r="L171" t="s">
        <v>15</v>
      </c>
      <c r="M171" t="str">
        <f t="shared" si="3"/>
        <v>5 to 6 years</v>
      </c>
    </row>
    <row r="172" spans="1:13">
      <c r="A172" t="s">
        <v>196</v>
      </c>
      <c r="B172" t="s">
        <v>21</v>
      </c>
      <c r="C172" t="s">
        <v>15</v>
      </c>
      <c r="D172" t="s">
        <v>16</v>
      </c>
      <c r="E172" t="s">
        <v>15</v>
      </c>
      <c r="F172">
        <v>5</v>
      </c>
      <c r="G172" t="s">
        <v>25</v>
      </c>
      <c r="H172" t="s">
        <v>34</v>
      </c>
      <c r="I172" t="s">
        <v>23</v>
      </c>
      <c r="J172">
        <v>92.77</v>
      </c>
      <c r="K172">
        <v>547.62</v>
      </c>
      <c r="L172" t="s">
        <v>15</v>
      </c>
      <c r="M172" t="str">
        <f t="shared" si="3"/>
        <v>Up to 1 year</v>
      </c>
    </row>
    <row r="173" spans="1:13">
      <c r="A173" t="s">
        <v>197</v>
      </c>
      <c r="B173" t="s">
        <v>14</v>
      </c>
      <c r="C173" t="s">
        <v>15</v>
      </c>
      <c r="D173" t="s">
        <v>16</v>
      </c>
      <c r="E173" t="s">
        <v>16</v>
      </c>
      <c r="F173">
        <v>38</v>
      </c>
      <c r="G173" t="s">
        <v>17</v>
      </c>
      <c r="H173" t="s">
        <v>34</v>
      </c>
      <c r="I173" t="s">
        <v>19</v>
      </c>
      <c r="J173">
        <v>57.89</v>
      </c>
      <c r="K173">
        <v>2116.4499999999998</v>
      </c>
      <c r="L173" t="s">
        <v>15</v>
      </c>
      <c r="M173" t="str">
        <f t="shared" si="3"/>
        <v>3 to 4 years</v>
      </c>
    </row>
    <row r="174" spans="1:13">
      <c r="A174" t="s">
        <v>198</v>
      </c>
      <c r="B174" t="s">
        <v>14</v>
      </c>
      <c r="C174" t="s">
        <v>16</v>
      </c>
      <c r="D174" t="s">
        <v>16</v>
      </c>
      <c r="E174" t="s">
        <v>16</v>
      </c>
      <c r="F174">
        <v>59</v>
      </c>
      <c r="G174" t="s">
        <v>22</v>
      </c>
      <c r="H174" t="s">
        <v>18</v>
      </c>
      <c r="I174" t="s">
        <v>23</v>
      </c>
      <c r="J174">
        <v>47.88</v>
      </c>
      <c r="K174">
        <v>3034.1</v>
      </c>
      <c r="L174" t="s">
        <v>16</v>
      </c>
      <c r="M174" t="str">
        <f t="shared" si="3"/>
        <v>4 to 5 years</v>
      </c>
    </row>
    <row r="175" spans="1:13">
      <c r="A175" t="s">
        <v>199</v>
      </c>
      <c r="B175" t="s">
        <v>21</v>
      </c>
      <c r="C175" t="s">
        <v>15</v>
      </c>
      <c r="D175" t="s">
        <v>15</v>
      </c>
      <c r="E175" t="s">
        <v>15</v>
      </c>
      <c r="F175">
        <v>27</v>
      </c>
      <c r="G175" t="s">
        <v>22</v>
      </c>
      <c r="H175" t="s">
        <v>34</v>
      </c>
      <c r="I175" t="s">
        <v>19</v>
      </c>
      <c r="J175">
        <v>92.06</v>
      </c>
      <c r="K175">
        <v>2517.8000000000002</v>
      </c>
      <c r="L175" t="s">
        <v>16</v>
      </c>
      <c r="M175" t="str">
        <f t="shared" si="3"/>
        <v>2 to 3 years</v>
      </c>
    </row>
    <row r="176" spans="1:13">
      <c r="A176" t="s">
        <v>200</v>
      </c>
      <c r="B176" t="s">
        <v>21</v>
      </c>
      <c r="C176" t="s">
        <v>15</v>
      </c>
      <c r="D176" t="s">
        <v>16</v>
      </c>
      <c r="E176" t="s">
        <v>16</v>
      </c>
      <c r="F176">
        <v>53</v>
      </c>
      <c r="G176" t="s">
        <v>17</v>
      </c>
      <c r="H176" t="s">
        <v>34</v>
      </c>
      <c r="I176" t="s">
        <v>36</v>
      </c>
      <c r="J176">
        <v>55.21</v>
      </c>
      <c r="K176">
        <v>2971.5</v>
      </c>
      <c r="L176" t="s">
        <v>15</v>
      </c>
      <c r="M176" t="str">
        <f t="shared" si="3"/>
        <v>4 to 5 years</v>
      </c>
    </row>
    <row r="177" spans="1:13">
      <c r="A177" t="s">
        <v>201</v>
      </c>
      <c r="B177" t="s">
        <v>21</v>
      </c>
      <c r="C177" t="s">
        <v>15</v>
      </c>
      <c r="D177" t="s">
        <v>15</v>
      </c>
      <c r="E177" t="s">
        <v>15</v>
      </c>
      <c r="F177">
        <v>36</v>
      </c>
      <c r="G177" t="s">
        <v>17</v>
      </c>
      <c r="H177" t="s">
        <v>18</v>
      </c>
      <c r="I177" t="s">
        <v>26</v>
      </c>
      <c r="J177">
        <v>55.61</v>
      </c>
      <c r="K177">
        <v>1940.12</v>
      </c>
      <c r="L177" t="s">
        <v>15</v>
      </c>
      <c r="M177" t="str">
        <f t="shared" si="3"/>
        <v>2 to 3 years</v>
      </c>
    </row>
    <row r="178" spans="1:13">
      <c r="A178" t="s">
        <v>202</v>
      </c>
      <c r="B178" t="s">
        <v>14</v>
      </c>
      <c r="C178" t="s">
        <v>16</v>
      </c>
      <c r="D178" t="s">
        <v>15</v>
      </c>
      <c r="E178" t="s">
        <v>16</v>
      </c>
      <c r="F178">
        <v>8</v>
      </c>
      <c r="G178" t="s">
        <v>22</v>
      </c>
      <c r="H178" t="s">
        <v>34</v>
      </c>
      <c r="I178" t="s">
        <v>23</v>
      </c>
      <c r="J178">
        <v>122.5</v>
      </c>
      <c r="K178">
        <v>969.33</v>
      </c>
      <c r="L178" t="s">
        <v>16</v>
      </c>
      <c r="M178" t="str">
        <f t="shared" si="3"/>
        <v>Up to 1 year</v>
      </c>
    </row>
    <row r="179" spans="1:13">
      <c r="A179" t="s">
        <v>203</v>
      </c>
      <c r="B179" t="s">
        <v>14</v>
      </c>
      <c r="C179" t="s">
        <v>15</v>
      </c>
      <c r="D179" t="s">
        <v>16</v>
      </c>
      <c r="E179" t="s">
        <v>15</v>
      </c>
      <c r="F179">
        <v>55</v>
      </c>
      <c r="G179" t="s">
        <v>17</v>
      </c>
      <c r="H179" t="s">
        <v>34</v>
      </c>
      <c r="I179" t="s">
        <v>23</v>
      </c>
      <c r="J179">
        <v>65.540000000000006</v>
      </c>
      <c r="K179">
        <v>3596.1</v>
      </c>
      <c r="L179" t="s">
        <v>15</v>
      </c>
      <c r="M179" t="str">
        <f t="shared" si="3"/>
        <v>4 to 5 years</v>
      </c>
    </row>
    <row r="180" spans="1:13">
      <c r="A180" t="s">
        <v>204</v>
      </c>
      <c r="B180" t="s">
        <v>14</v>
      </c>
      <c r="C180" t="s">
        <v>15</v>
      </c>
      <c r="D180" t="s">
        <v>16</v>
      </c>
      <c r="E180" t="s">
        <v>15</v>
      </c>
      <c r="F180">
        <v>58</v>
      </c>
      <c r="G180" t="s">
        <v>22</v>
      </c>
      <c r="H180" t="s">
        <v>18</v>
      </c>
      <c r="I180" t="s">
        <v>19</v>
      </c>
      <c r="J180">
        <v>92.36</v>
      </c>
      <c r="K180">
        <v>5500.57</v>
      </c>
      <c r="L180" t="s">
        <v>15</v>
      </c>
      <c r="M180" t="str">
        <f t="shared" si="3"/>
        <v>4 to 5 years</v>
      </c>
    </row>
    <row r="181" spans="1:13">
      <c r="A181" t="s">
        <v>205</v>
      </c>
      <c r="B181" t="s">
        <v>14</v>
      </c>
      <c r="C181" t="s">
        <v>15</v>
      </c>
      <c r="D181" t="s">
        <v>16</v>
      </c>
      <c r="E181" t="s">
        <v>15</v>
      </c>
      <c r="F181">
        <v>1</v>
      </c>
      <c r="G181" t="s">
        <v>22</v>
      </c>
      <c r="H181" t="s">
        <v>18</v>
      </c>
      <c r="I181" t="s">
        <v>19</v>
      </c>
      <c r="J181">
        <v>80.739999999999995</v>
      </c>
      <c r="K181">
        <v>112.79</v>
      </c>
      <c r="L181" t="s">
        <v>16</v>
      </c>
      <c r="M181" t="str">
        <f t="shared" si="3"/>
        <v>Up to 1 year</v>
      </c>
    </row>
    <row r="182" spans="1:13">
      <c r="A182" t="s">
        <v>206</v>
      </c>
      <c r="B182" t="s">
        <v>14</v>
      </c>
      <c r="C182" t="s">
        <v>15</v>
      </c>
      <c r="D182" t="s">
        <v>16</v>
      </c>
      <c r="E182" t="s">
        <v>15</v>
      </c>
      <c r="F182">
        <v>60</v>
      </c>
      <c r="G182" t="s">
        <v>22</v>
      </c>
      <c r="H182" t="s">
        <v>34</v>
      </c>
      <c r="I182" t="s">
        <v>19</v>
      </c>
      <c r="J182">
        <v>47.84</v>
      </c>
      <c r="K182">
        <v>2913.91</v>
      </c>
      <c r="L182" t="s">
        <v>15</v>
      </c>
      <c r="M182" t="str">
        <f t="shared" si="3"/>
        <v>4 to 5 years</v>
      </c>
    </row>
    <row r="183" spans="1:13">
      <c r="A183" t="s">
        <v>207</v>
      </c>
      <c r="B183" t="s">
        <v>14</v>
      </c>
      <c r="C183" t="s">
        <v>15</v>
      </c>
      <c r="D183" t="s">
        <v>16</v>
      </c>
      <c r="E183" t="s">
        <v>16</v>
      </c>
      <c r="F183">
        <v>57</v>
      </c>
      <c r="G183" t="s">
        <v>22</v>
      </c>
      <c r="H183" t="s">
        <v>18</v>
      </c>
      <c r="I183" t="s">
        <v>19</v>
      </c>
      <c r="J183">
        <v>97.24</v>
      </c>
      <c r="K183">
        <v>5585.29</v>
      </c>
      <c r="L183" t="s">
        <v>15</v>
      </c>
      <c r="M183" t="str">
        <f t="shared" si="3"/>
        <v>4 to 5 years</v>
      </c>
    </row>
    <row r="184" spans="1:13">
      <c r="A184" t="s">
        <v>208</v>
      </c>
      <c r="B184" t="s">
        <v>21</v>
      </c>
      <c r="C184" t="s">
        <v>15</v>
      </c>
      <c r="D184" t="s">
        <v>16</v>
      </c>
      <c r="E184" t="s">
        <v>16</v>
      </c>
      <c r="F184">
        <v>59</v>
      </c>
      <c r="G184" t="s">
        <v>22</v>
      </c>
      <c r="H184" t="s">
        <v>18</v>
      </c>
      <c r="I184" t="s">
        <v>26</v>
      </c>
      <c r="J184">
        <v>87.86</v>
      </c>
      <c r="K184">
        <v>5234.03</v>
      </c>
      <c r="L184" t="s">
        <v>15</v>
      </c>
      <c r="M184" t="str">
        <f t="shared" si="3"/>
        <v>4 to 5 years</v>
      </c>
    </row>
    <row r="185" spans="1:13">
      <c r="A185" t="s">
        <v>209</v>
      </c>
      <c r="B185" t="s">
        <v>14</v>
      </c>
      <c r="C185" t="s">
        <v>15</v>
      </c>
      <c r="D185" t="s">
        <v>15</v>
      </c>
      <c r="E185" t="s">
        <v>15</v>
      </c>
      <c r="F185">
        <v>39</v>
      </c>
      <c r="G185" t="s">
        <v>17</v>
      </c>
      <c r="H185" t="s">
        <v>18</v>
      </c>
      <c r="I185" t="s">
        <v>36</v>
      </c>
      <c r="J185">
        <v>63.52</v>
      </c>
      <c r="K185">
        <v>2366.12</v>
      </c>
      <c r="L185" t="s">
        <v>15</v>
      </c>
      <c r="M185" t="str">
        <f t="shared" si="3"/>
        <v>3 to 4 years</v>
      </c>
    </row>
    <row r="186" spans="1:13">
      <c r="A186" t="s">
        <v>210</v>
      </c>
      <c r="B186" t="s">
        <v>14</v>
      </c>
      <c r="C186" t="s">
        <v>15</v>
      </c>
      <c r="D186" t="s">
        <v>15</v>
      </c>
      <c r="E186" t="s">
        <v>15</v>
      </c>
      <c r="F186">
        <v>35</v>
      </c>
      <c r="G186" t="s">
        <v>22</v>
      </c>
      <c r="H186" t="s">
        <v>15</v>
      </c>
      <c r="I186" t="s">
        <v>23</v>
      </c>
      <c r="J186">
        <v>65.83</v>
      </c>
      <c r="K186">
        <v>2467.9899999999998</v>
      </c>
      <c r="L186" t="s">
        <v>16</v>
      </c>
      <c r="M186" t="str">
        <f t="shared" si="3"/>
        <v>2 to 3 years</v>
      </c>
    </row>
    <row r="187" spans="1:13">
      <c r="A187" t="s">
        <v>211</v>
      </c>
      <c r="B187" t="s">
        <v>14</v>
      </c>
      <c r="C187" t="s">
        <v>15</v>
      </c>
      <c r="D187" t="s">
        <v>15</v>
      </c>
      <c r="E187" t="s">
        <v>15</v>
      </c>
      <c r="F187">
        <v>36</v>
      </c>
      <c r="G187" t="s">
        <v>22</v>
      </c>
      <c r="H187" t="s">
        <v>18</v>
      </c>
      <c r="I187" t="s">
        <v>36</v>
      </c>
      <c r="J187">
        <v>67.14</v>
      </c>
      <c r="K187">
        <v>2346.84</v>
      </c>
      <c r="L187" t="s">
        <v>16</v>
      </c>
      <c r="M187" t="str">
        <f t="shared" si="3"/>
        <v>2 to 3 years</v>
      </c>
    </row>
    <row r="188" spans="1:13">
      <c r="A188" t="s">
        <v>212</v>
      </c>
      <c r="B188" t="s">
        <v>21</v>
      </c>
      <c r="C188" t="s">
        <v>15</v>
      </c>
      <c r="D188" t="s">
        <v>16</v>
      </c>
      <c r="E188" t="s">
        <v>15</v>
      </c>
      <c r="F188">
        <v>17</v>
      </c>
      <c r="G188" t="s">
        <v>22</v>
      </c>
      <c r="H188" t="s">
        <v>18</v>
      </c>
      <c r="I188" t="s">
        <v>23</v>
      </c>
      <c r="J188">
        <v>52.39</v>
      </c>
      <c r="K188">
        <v>887.56</v>
      </c>
      <c r="L188" t="s">
        <v>16</v>
      </c>
      <c r="M188" t="str">
        <f t="shared" si="3"/>
        <v>1 to 2 years</v>
      </c>
    </row>
    <row r="189" spans="1:13">
      <c r="A189" t="s">
        <v>213</v>
      </c>
      <c r="B189" t="s">
        <v>14</v>
      </c>
      <c r="C189" t="s">
        <v>15</v>
      </c>
      <c r="D189" t="s">
        <v>15</v>
      </c>
      <c r="E189" t="s">
        <v>15</v>
      </c>
      <c r="F189">
        <v>62</v>
      </c>
      <c r="G189" t="s">
        <v>22</v>
      </c>
      <c r="H189" t="s">
        <v>34</v>
      </c>
      <c r="I189" t="s">
        <v>23</v>
      </c>
      <c r="J189">
        <v>39.86</v>
      </c>
      <c r="K189">
        <v>2593.84</v>
      </c>
      <c r="L189" t="s">
        <v>15</v>
      </c>
      <c r="M189" t="str">
        <f t="shared" si="3"/>
        <v>5 to 6 years</v>
      </c>
    </row>
    <row r="190" spans="1:13">
      <c r="A190" t="s">
        <v>214</v>
      </c>
      <c r="B190" t="s">
        <v>14</v>
      </c>
      <c r="C190" t="s">
        <v>15</v>
      </c>
      <c r="D190" t="s">
        <v>15</v>
      </c>
      <c r="E190" t="s">
        <v>15</v>
      </c>
      <c r="F190">
        <v>21</v>
      </c>
      <c r="G190" t="s">
        <v>22</v>
      </c>
      <c r="H190" t="s">
        <v>34</v>
      </c>
      <c r="I190" t="s">
        <v>19</v>
      </c>
      <c r="J190">
        <v>76.75</v>
      </c>
      <c r="K190">
        <v>1766.52</v>
      </c>
      <c r="L190" t="s">
        <v>15</v>
      </c>
      <c r="M190" t="str">
        <f t="shared" si="3"/>
        <v>1 to 2 years</v>
      </c>
    </row>
    <row r="191" spans="1:13">
      <c r="A191" t="s">
        <v>215</v>
      </c>
      <c r="B191" t="s">
        <v>21</v>
      </c>
      <c r="C191" t="s">
        <v>15</v>
      </c>
      <c r="D191" t="s">
        <v>15</v>
      </c>
      <c r="E191" t="s">
        <v>15</v>
      </c>
      <c r="F191">
        <v>10</v>
      </c>
      <c r="G191" t="s">
        <v>17</v>
      </c>
      <c r="H191" t="s">
        <v>15</v>
      </c>
      <c r="I191" t="s">
        <v>26</v>
      </c>
      <c r="J191">
        <v>45.43</v>
      </c>
      <c r="K191">
        <v>518.78</v>
      </c>
      <c r="L191" t="s">
        <v>15</v>
      </c>
      <c r="M191" t="str">
        <f t="shared" si="3"/>
        <v>Up to 1 year</v>
      </c>
    </row>
    <row r="192" spans="1:13">
      <c r="A192" t="s">
        <v>216</v>
      </c>
      <c r="B192" t="s">
        <v>14</v>
      </c>
      <c r="C192" t="s">
        <v>15</v>
      </c>
      <c r="D192" t="s">
        <v>15</v>
      </c>
      <c r="E192" t="s">
        <v>16</v>
      </c>
      <c r="F192">
        <v>57</v>
      </c>
      <c r="G192" t="s">
        <v>17</v>
      </c>
      <c r="H192" t="s">
        <v>18</v>
      </c>
      <c r="I192" t="s">
        <v>36</v>
      </c>
      <c r="J192">
        <v>117.54</v>
      </c>
      <c r="K192">
        <v>6659.4</v>
      </c>
      <c r="L192" t="s">
        <v>15</v>
      </c>
      <c r="M192" t="str">
        <f t="shared" si="3"/>
        <v>4 to 5 years</v>
      </c>
    </row>
    <row r="193" spans="1:13">
      <c r="A193" t="s">
        <v>217</v>
      </c>
      <c r="B193" t="s">
        <v>14</v>
      </c>
      <c r="C193" t="s">
        <v>15</v>
      </c>
      <c r="D193" t="s">
        <v>15</v>
      </c>
      <c r="E193" t="s">
        <v>15</v>
      </c>
      <c r="F193">
        <v>56</v>
      </c>
      <c r="G193" t="s">
        <v>17</v>
      </c>
      <c r="H193" t="s">
        <v>34</v>
      </c>
      <c r="I193" t="s">
        <v>26</v>
      </c>
      <c r="J193">
        <v>68.930000000000007</v>
      </c>
      <c r="K193">
        <v>3870.3</v>
      </c>
      <c r="L193" t="s">
        <v>15</v>
      </c>
      <c r="M193" t="str">
        <f t="shared" si="3"/>
        <v>4 to 5 years</v>
      </c>
    </row>
    <row r="194" spans="1:13">
      <c r="A194" t="s">
        <v>218</v>
      </c>
      <c r="B194" t="s">
        <v>14</v>
      </c>
      <c r="C194" t="s">
        <v>15</v>
      </c>
      <c r="D194" t="s">
        <v>16</v>
      </c>
      <c r="E194" t="s">
        <v>15</v>
      </c>
      <c r="F194">
        <v>3</v>
      </c>
      <c r="G194" t="s">
        <v>17</v>
      </c>
      <c r="H194" t="s">
        <v>18</v>
      </c>
      <c r="I194" t="s">
        <v>36</v>
      </c>
      <c r="J194">
        <v>60.37</v>
      </c>
      <c r="K194">
        <v>194.47</v>
      </c>
      <c r="L194" t="s">
        <v>15</v>
      </c>
      <c r="M194" t="str">
        <f t="shared" si="3"/>
        <v>Up to 1 year</v>
      </c>
    </row>
    <row r="195" spans="1:13">
      <c r="A195" t="s">
        <v>219</v>
      </c>
      <c r="B195" t="s">
        <v>14</v>
      </c>
      <c r="C195" t="s">
        <v>15</v>
      </c>
      <c r="D195" t="s">
        <v>16</v>
      </c>
      <c r="E195" t="s">
        <v>15</v>
      </c>
      <c r="F195">
        <v>6</v>
      </c>
      <c r="G195" t="s">
        <v>22</v>
      </c>
      <c r="H195" t="s">
        <v>18</v>
      </c>
      <c r="I195" t="s">
        <v>36</v>
      </c>
      <c r="J195">
        <v>83.95</v>
      </c>
      <c r="K195">
        <v>519.89</v>
      </c>
      <c r="L195" t="s">
        <v>15</v>
      </c>
      <c r="M195" t="str">
        <f t="shared" ref="M195:M258" si="4">IF(F195=0,"Just signed",IF(F195&lt;=12,"Up to 1 year",IF(F195&lt;=24,"1 to 2 years",IF(F195&lt;=36,"2 to 3 years",IF(F195&lt;=48,"3 to 4 years",IF(F195&lt;=60,"4 to 5 years","5 to 6 years"))))))</f>
        <v>Up to 1 year</v>
      </c>
    </row>
    <row r="196" spans="1:13">
      <c r="A196" t="s">
        <v>220</v>
      </c>
      <c r="B196" t="s">
        <v>14</v>
      </c>
      <c r="C196" t="s">
        <v>16</v>
      </c>
      <c r="D196" t="s">
        <v>15</v>
      </c>
      <c r="E196" t="s">
        <v>16</v>
      </c>
      <c r="F196">
        <v>60</v>
      </c>
      <c r="G196" t="s">
        <v>22</v>
      </c>
      <c r="H196" t="s">
        <v>15</v>
      </c>
      <c r="I196" t="s">
        <v>26</v>
      </c>
      <c r="J196">
        <v>22.64</v>
      </c>
      <c r="K196">
        <v>1260</v>
      </c>
      <c r="L196" t="s">
        <v>15</v>
      </c>
      <c r="M196" t="str">
        <f t="shared" si="4"/>
        <v>4 to 5 years</v>
      </c>
    </row>
    <row r="197" spans="1:13">
      <c r="A197" t="s">
        <v>221</v>
      </c>
      <c r="B197" t="s">
        <v>21</v>
      </c>
      <c r="C197" t="s">
        <v>15</v>
      </c>
      <c r="D197" t="s">
        <v>15</v>
      </c>
      <c r="E197" t="s">
        <v>15</v>
      </c>
      <c r="F197">
        <v>53</v>
      </c>
      <c r="G197" t="s">
        <v>22</v>
      </c>
      <c r="H197" t="s">
        <v>34</v>
      </c>
      <c r="I197" t="s">
        <v>19</v>
      </c>
      <c r="J197">
        <v>67.900000000000006</v>
      </c>
      <c r="K197">
        <v>3699.51</v>
      </c>
      <c r="L197" t="s">
        <v>15</v>
      </c>
      <c r="M197" t="str">
        <f t="shared" si="4"/>
        <v>4 to 5 years</v>
      </c>
    </row>
    <row r="198" spans="1:13">
      <c r="A198" t="s">
        <v>222</v>
      </c>
      <c r="B198" t="s">
        <v>21</v>
      </c>
      <c r="C198" t="s">
        <v>15</v>
      </c>
      <c r="D198" t="s">
        <v>15</v>
      </c>
      <c r="E198" t="s">
        <v>15</v>
      </c>
      <c r="F198">
        <v>67</v>
      </c>
      <c r="G198" t="s">
        <v>22</v>
      </c>
      <c r="H198" t="s">
        <v>15</v>
      </c>
      <c r="I198" t="s">
        <v>19</v>
      </c>
      <c r="J198">
        <v>62.98</v>
      </c>
      <c r="K198">
        <v>4230.43</v>
      </c>
      <c r="L198" t="s">
        <v>15</v>
      </c>
      <c r="M198" t="str">
        <f t="shared" si="4"/>
        <v>5 to 6 years</v>
      </c>
    </row>
    <row r="199" spans="1:13">
      <c r="A199" t="s">
        <v>223</v>
      </c>
      <c r="B199" t="s">
        <v>21</v>
      </c>
      <c r="C199" t="s">
        <v>15</v>
      </c>
      <c r="D199" t="s">
        <v>16</v>
      </c>
      <c r="E199" t="s">
        <v>15</v>
      </c>
      <c r="F199">
        <v>0</v>
      </c>
      <c r="G199" t="s">
        <v>25</v>
      </c>
      <c r="H199" t="s">
        <v>34</v>
      </c>
      <c r="I199" t="s">
        <v>36</v>
      </c>
      <c r="J199">
        <v>74.89</v>
      </c>
      <c r="K199">
        <v>37.445</v>
      </c>
      <c r="L199" t="s">
        <v>16</v>
      </c>
      <c r="M199" t="str">
        <f t="shared" si="4"/>
        <v>Just signed</v>
      </c>
    </row>
    <row r="200" spans="1:13">
      <c r="A200" t="s">
        <v>224</v>
      </c>
      <c r="B200" t="s">
        <v>14</v>
      </c>
      <c r="C200" t="s">
        <v>16</v>
      </c>
      <c r="D200" t="s">
        <v>16</v>
      </c>
      <c r="E200" t="s">
        <v>15</v>
      </c>
      <c r="F200">
        <v>54</v>
      </c>
      <c r="G200" t="s">
        <v>22</v>
      </c>
      <c r="H200" t="s">
        <v>34</v>
      </c>
      <c r="I200" t="s">
        <v>26</v>
      </c>
      <c r="J200">
        <v>102.57</v>
      </c>
      <c r="K200">
        <v>5498.91</v>
      </c>
      <c r="L200" t="s">
        <v>16</v>
      </c>
      <c r="M200" t="str">
        <f t="shared" si="4"/>
        <v>4 to 5 years</v>
      </c>
    </row>
    <row r="201" spans="1:13">
      <c r="A201" t="s">
        <v>225</v>
      </c>
      <c r="B201" t="s">
        <v>14</v>
      </c>
      <c r="C201" t="s">
        <v>15</v>
      </c>
      <c r="D201" t="s">
        <v>15</v>
      </c>
      <c r="E201" t="s">
        <v>15</v>
      </c>
      <c r="F201">
        <v>2</v>
      </c>
      <c r="G201" t="s">
        <v>22</v>
      </c>
      <c r="H201" t="s">
        <v>18</v>
      </c>
      <c r="I201" t="s">
        <v>23</v>
      </c>
      <c r="J201">
        <v>140</v>
      </c>
      <c r="K201">
        <v>301.58999999999997</v>
      </c>
      <c r="L201" t="s">
        <v>15</v>
      </c>
      <c r="M201" t="str">
        <f t="shared" si="4"/>
        <v>Up to 1 year</v>
      </c>
    </row>
    <row r="202" spans="1:13">
      <c r="A202" t="s">
        <v>226</v>
      </c>
      <c r="B202" t="s">
        <v>14</v>
      </c>
      <c r="C202" t="s">
        <v>15</v>
      </c>
      <c r="D202" t="s">
        <v>16</v>
      </c>
      <c r="E202" t="s">
        <v>15</v>
      </c>
      <c r="F202">
        <v>37</v>
      </c>
      <c r="G202" t="s">
        <v>25</v>
      </c>
      <c r="H202" t="s">
        <v>34</v>
      </c>
      <c r="I202" t="s">
        <v>26</v>
      </c>
      <c r="J202">
        <v>86.78</v>
      </c>
      <c r="K202">
        <v>3098.63</v>
      </c>
      <c r="L202" t="s">
        <v>16</v>
      </c>
      <c r="M202" t="str">
        <f t="shared" si="4"/>
        <v>3 to 4 years</v>
      </c>
    </row>
    <row r="203" spans="1:13">
      <c r="A203" t="s">
        <v>227</v>
      </c>
      <c r="B203" t="s">
        <v>21</v>
      </c>
      <c r="C203" t="s">
        <v>16</v>
      </c>
      <c r="D203" t="s">
        <v>16</v>
      </c>
      <c r="E203" t="s">
        <v>16</v>
      </c>
      <c r="F203">
        <v>0</v>
      </c>
      <c r="G203" t="s">
        <v>25</v>
      </c>
      <c r="H203" t="s">
        <v>34</v>
      </c>
      <c r="I203" t="s">
        <v>23</v>
      </c>
      <c r="J203">
        <v>99.47</v>
      </c>
      <c r="K203">
        <v>70.27</v>
      </c>
      <c r="L203" t="s">
        <v>15</v>
      </c>
      <c r="M203" t="str">
        <f t="shared" si="4"/>
        <v>Just signed</v>
      </c>
    </row>
    <row r="204" spans="1:13">
      <c r="A204" t="s">
        <v>228</v>
      </c>
      <c r="B204" t="s">
        <v>14</v>
      </c>
      <c r="C204" t="s">
        <v>15</v>
      </c>
      <c r="D204" t="s">
        <v>15</v>
      </c>
      <c r="E204" t="s">
        <v>15</v>
      </c>
      <c r="F204">
        <v>37</v>
      </c>
      <c r="G204" t="s">
        <v>17</v>
      </c>
      <c r="H204" t="s">
        <v>18</v>
      </c>
      <c r="I204" t="s">
        <v>19</v>
      </c>
      <c r="J204">
        <v>140</v>
      </c>
      <c r="K204">
        <v>5198.78</v>
      </c>
      <c r="L204" t="s">
        <v>15</v>
      </c>
      <c r="M204" t="str">
        <f t="shared" si="4"/>
        <v>3 to 4 years</v>
      </c>
    </row>
    <row r="205" spans="1:13">
      <c r="A205" t="s">
        <v>229</v>
      </c>
      <c r="B205" t="s">
        <v>14</v>
      </c>
      <c r="C205" t="s">
        <v>16</v>
      </c>
      <c r="D205" t="s">
        <v>16</v>
      </c>
      <c r="E205" t="s">
        <v>16</v>
      </c>
      <c r="F205">
        <v>28</v>
      </c>
      <c r="G205" t="s">
        <v>22</v>
      </c>
      <c r="H205" t="s">
        <v>34</v>
      </c>
      <c r="I205" t="s">
        <v>23</v>
      </c>
      <c r="J205">
        <v>44.84</v>
      </c>
      <c r="K205">
        <v>1380.78</v>
      </c>
      <c r="L205" t="s">
        <v>16</v>
      </c>
      <c r="M205" t="str">
        <f t="shared" si="4"/>
        <v>2 to 3 years</v>
      </c>
    </row>
    <row r="206" spans="1:13">
      <c r="A206" t="s">
        <v>230</v>
      </c>
      <c r="B206" t="s">
        <v>21</v>
      </c>
      <c r="C206" t="s">
        <v>16</v>
      </c>
      <c r="D206" t="s">
        <v>16</v>
      </c>
      <c r="E206" t="s">
        <v>15</v>
      </c>
      <c r="F206">
        <v>4</v>
      </c>
      <c r="G206" t="s">
        <v>22</v>
      </c>
      <c r="H206" t="s">
        <v>34</v>
      </c>
      <c r="I206" t="s">
        <v>26</v>
      </c>
      <c r="J206">
        <v>73.27</v>
      </c>
      <c r="K206">
        <v>299.29000000000002</v>
      </c>
      <c r="L206" t="s">
        <v>16</v>
      </c>
      <c r="M206" t="str">
        <f t="shared" si="4"/>
        <v>Up to 1 year</v>
      </c>
    </row>
    <row r="207" spans="1:13">
      <c r="A207" t="s">
        <v>231</v>
      </c>
      <c r="B207" t="s">
        <v>14</v>
      </c>
      <c r="C207" t="s">
        <v>15</v>
      </c>
      <c r="D207" t="s">
        <v>15</v>
      </c>
      <c r="E207" t="s">
        <v>15</v>
      </c>
      <c r="F207">
        <v>20</v>
      </c>
      <c r="G207" t="s">
        <v>22</v>
      </c>
      <c r="H207" t="s">
        <v>34</v>
      </c>
      <c r="I207" t="s">
        <v>36</v>
      </c>
      <c r="J207">
        <v>58.05</v>
      </c>
      <c r="K207">
        <v>1074.18</v>
      </c>
      <c r="L207" t="s">
        <v>15</v>
      </c>
      <c r="M207" t="str">
        <f t="shared" si="4"/>
        <v>1 to 2 years</v>
      </c>
    </row>
    <row r="208" spans="1:13">
      <c r="A208" t="s">
        <v>232</v>
      </c>
      <c r="B208" t="s">
        <v>21</v>
      </c>
      <c r="C208" t="s">
        <v>15</v>
      </c>
      <c r="D208" t="s">
        <v>16</v>
      </c>
      <c r="E208" t="s">
        <v>16</v>
      </c>
      <c r="F208">
        <v>70</v>
      </c>
      <c r="G208" t="s">
        <v>22</v>
      </c>
      <c r="H208" t="s">
        <v>18</v>
      </c>
      <c r="I208" t="s">
        <v>23</v>
      </c>
      <c r="J208">
        <v>101.07</v>
      </c>
      <c r="K208">
        <v>6979.08</v>
      </c>
      <c r="L208" t="s">
        <v>15</v>
      </c>
      <c r="M208" t="str">
        <f t="shared" si="4"/>
        <v>5 to 6 years</v>
      </c>
    </row>
    <row r="209" spans="1:13">
      <c r="A209" t="s">
        <v>233</v>
      </c>
      <c r="B209" t="s">
        <v>21</v>
      </c>
      <c r="C209" t="s">
        <v>15</v>
      </c>
      <c r="D209" t="s">
        <v>16</v>
      </c>
      <c r="E209" t="s">
        <v>15</v>
      </c>
      <c r="F209">
        <v>66</v>
      </c>
      <c r="G209" t="s">
        <v>22</v>
      </c>
      <c r="H209" t="s">
        <v>18</v>
      </c>
      <c r="I209" t="s">
        <v>23</v>
      </c>
      <c r="J209">
        <v>86.79</v>
      </c>
      <c r="K209">
        <v>5696.88</v>
      </c>
      <c r="L209" t="s">
        <v>15</v>
      </c>
      <c r="M209" t="str">
        <f t="shared" si="4"/>
        <v>5 to 6 years</v>
      </c>
    </row>
    <row r="210" spans="1:13">
      <c r="A210" t="s">
        <v>234</v>
      </c>
      <c r="B210" t="s">
        <v>21</v>
      </c>
      <c r="C210" t="s">
        <v>15</v>
      </c>
      <c r="D210" t="s">
        <v>15</v>
      </c>
      <c r="E210" t="s">
        <v>16</v>
      </c>
      <c r="F210">
        <v>46</v>
      </c>
      <c r="G210" t="s">
        <v>22</v>
      </c>
      <c r="H210" t="s">
        <v>18</v>
      </c>
      <c r="I210" t="s">
        <v>23</v>
      </c>
      <c r="J210">
        <v>59.54</v>
      </c>
      <c r="K210">
        <v>2716.05</v>
      </c>
      <c r="L210" t="s">
        <v>15</v>
      </c>
      <c r="M210" t="str">
        <f t="shared" si="4"/>
        <v>3 to 4 years</v>
      </c>
    </row>
    <row r="211" spans="1:13">
      <c r="A211" t="s">
        <v>235</v>
      </c>
      <c r="B211" t="s">
        <v>14</v>
      </c>
      <c r="C211" t="s">
        <v>15</v>
      </c>
      <c r="D211" t="s">
        <v>16</v>
      </c>
      <c r="E211" t="s">
        <v>15</v>
      </c>
      <c r="F211">
        <v>34</v>
      </c>
      <c r="G211" t="s">
        <v>25</v>
      </c>
      <c r="H211" t="s">
        <v>18</v>
      </c>
      <c r="I211" t="s">
        <v>26</v>
      </c>
      <c r="J211">
        <v>80.27</v>
      </c>
      <c r="K211">
        <v>2683.8</v>
      </c>
      <c r="L211" t="s">
        <v>15</v>
      </c>
      <c r="M211" t="str">
        <f t="shared" si="4"/>
        <v>2 to 3 years</v>
      </c>
    </row>
    <row r="212" spans="1:13">
      <c r="A212" t="s">
        <v>236</v>
      </c>
      <c r="B212" t="s">
        <v>14</v>
      </c>
      <c r="C212" t="s">
        <v>15</v>
      </c>
      <c r="D212" t="s">
        <v>16</v>
      </c>
      <c r="E212" t="s">
        <v>15</v>
      </c>
      <c r="F212">
        <v>67</v>
      </c>
      <c r="G212" t="s">
        <v>22</v>
      </c>
      <c r="H212" t="s">
        <v>18</v>
      </c>
      <c r="I212" t="s">
        <v>23</v>
      </c>
      <c r="J212">
        <v>106.17</v>
      </c>
      <c r="K212">
        <v>7123.67</v>
      </c>
      <c r="L212" t="s">
        <v>15</v>
      </c>
      <c r="M212" t="str">
        <f t="shared" si="4"/>
        <v>5 to 6 years</v>
      </c>
    </row>
    <row r="213" spans="1:13">
      <c r="A213" t="s">
        <v>237</v>
      </c>
      <c r="B213" t="s">
        <v>14</v>
      </c>
      <c r="C213" t="s">
        <v>15</v>
      </c>
      <c r="D213" t="s">
        <v>15</v>
      </c>
      <c r="E213" t="s">
        <v>15</v>
      </c>
      <c r="F213">
        <v>68</v>
      </c>
      <c r="G213" t="s">
        <v>17</v>
      </c>
      <c r="H213" t="s">
        <v>18</v>
      </c>
      <c r="I213" t="s">
        <v>23</v>
      </c>
      <c r="J213">
        <v>47.41</v>
      </c>
      <c r="K213">
        <v>3176.47</v>
      </c>
      <c r="L213" t="s">
        <v>15</v>
      </c>
      <c r="M213" t="str">
        <f t="shared" si="4"/>
        <v>5 to 6 years</v>
      </c>
    </row>
    <row r="214" spans="1:13">
      <c r="A214" t="s">
        <v>238</v>
      </c>
      <c r="B214" t="s">
        <v>14</v>
      </c>
      <c r="C214" t="s">
        <v>15</v>
      </c>
      <c r="D214" t="s">
        <v>15</v>
      </c>
      <c r="E214" t="s">
        <v>16</v>
      </c>
      <c r="F214">
        <v>0</v>
      </c>
      <c r="G214" t="s">
        <v>17</v>
      </c>
      <c r="H214" t="s">
        <v>34</v>
      </c>
      <c r="I214" t="s">
        <v>23</v>
      </c>
      <c r="J214">
        <v>50.07</v>
      </c>
      <c r="K214">
        <v>25.035</v>
      </c>
      <c r="L214" t="s">
        <v>15</v>
      </c>
      <c r="M214" t="str">
        <f t="shared" si="4"/>
        <v>Just signed</v>
      </c>
    </row>
    <row r="215" spans="1:13">
      <c r="A215" t="s">
        <v>239</v>
      </c>
      <c r="B215" t="s">
        <v>14</v>
      </c>
      <c r="C215" t="s">
        <v>15</v>
      </c>
      <c r="D215" t="s">
        <v>15</v>
      </c>
      <c r="E215" t="s">
        <v>15</v>
      </c>
      <c r="F215">
        <v>67</v>
      </c>
      <c r="G215" t="s">
        <v>22</v>
      </c>
      <c r="H215" t="s">
        <v>34</v>
      </c>
      <c r="I215" t="s">
        <v>19</v>
      </c>
      <c r="J215">
        <v>46.32</v>
      </c>
      <c r="K215">
        <v>3061.79</v>
      </c>
      <c r="L215" t="s">
        <v>15</v>
      </c>
      <c r="M215" t="str">
        <f t="shared" si="4"/>
        <v>5 to 6 years</v>
      </c>
    </row>
    <row r="216" spans="1:13">
      <c r="A216" t="s">
        <v>240</v>
      </c>
      <c r="B216" t="s">
        <v>14</v>
      </c>
      <c r="C216" t="s">
        <v>15</v>
      </c>
      <c r="D216" t="s">
        <v>16</v>
      </c>
      <c r="E216" t="s">
        <v>15</v>
      </c>
      <c r="F216">
        <v>11</v>
      </c>
      <c r="G216" t="s">
        <v>17</v>
      </c>
      <c r="H216" t="s">
        <v>18</v>
      </c>
      <c r="I216" t="s">
        <v>23</v>
      </c>
      <c r="J216">
        <v>88.16</v>
      </c>
      <c r="K216">
        <v>1020.3</v>
      </c>
      <c r="L216" t="s">
        <v>15</v>
      </c>
      <c r="M216" t="str">
        <f t="shared" si="4"/>
        <v>Up to 1 year</v>
      </c>
    </row>
    <row r="217" spans="1:13">
      <c r="A217" t="s">
        <v>241</v>
      </c>
      <c r="B217" t="s">
        <v>14</v>
      </c>
      <c r="C217" t="s">
        <v>15</v>
      </c>
      <c r="D217" t="s">
        <v>15</v>
      </c>
      <c r="E217" t="s">
        <v>15</v>
      </c>
      <c r="F217">
        <v>59</v>
      </c>
      <c r="G217" t="s">
        <v>22</v>
      </c>
      <c r="H217" t="s">
        <v>18</v>
      </c>
      <c r="I217" t="s">
        <v>26</v>
      </c>
      <c r="J217">
        <v>111.01</v>
      </c>
      <c r="K217">
        <v>6524.78</v>
      </c>
      <c r="L217" t="s">
        <v>15</v>
      </c>
      <c r="M217" t="str">
        <f t="shared" si="4"/>
        <v>4 to 5 years</v>
      </c>
    </row>
    <row r="218" spans="1:13">
      <c r="A218" t="s">
        <v>242</v>
      </c>
      <c r="B218" t="s">
        <v>21</v>
      </c>
      <c r="C218" t="s">
        <v>15</v>
      </c>
      <c r="D218" t="s">
        <v>16</v>
      </c>
      <c r="E218" t="s">
        <v>15</v>
      </c>
      <c r="F218">
        <v>26</v>
      </c>
      <c r="G218" t="s">
        <v>22</v>
      </c>
      <c r="H218" t="s">
        <v>15</v>
      </c>
      <c r="I218" t="s">
        <v>23</v>
      </c>
      <c r="J218">
        <v>20</v>
      </c>
      <c r="K218">
        <v>619.70000000000005</v>
      </c>
      <c r="L218" t="s">
        <v>15</v>
      </c>
      <c r="M218" t="str">
        <f t="shared" si="4"/>
        <v>2 to 3 years</v>
      </c>
    </row>
    <row r="219" spans="1:13">
      <c r="A219" t="s">
        <v>243</v>
      </c>
      <c r="B219" t="s">
        <v>14</v>
      </c>
      <c r="C219" t="s">
        <v>15</v>
      </c>
      <c r="D219" t="s">
        <v>15</v>
      </c>
      <c r="E219" t="s">
        <v>16</v>
      </c>
      <c r="F219">
        <v>55</v>
      </c>
      <c r="G219" t="s">
        <v>17</v>
      </c>
      <c r="H219" t="s">
        <v>18</v>
      </c>
      <c r="I219" t="s">
        <v>26</v>
      </c>
      <c r="J219">
        <v>82.36</v>
      </c>
      <c r="K219">
        <v>4581.9799999999996</v>
      </c>
      <c r="L219" t="s">
        <v>16</v>
      </c>
      <c r="M219" t="str">
        <f t="shared" si="4"/>
        <v>4 to 5 years</v>
      </c>
    </row>
    <row r="220" spans="1:13">
      <c r="A220" t="s">
        <v>244</v>
      </c>
      <c r="B220" t="s">
        <v>21</v>
      </c>
      <c r="C220" t="s">
        <v>16</v>
      </c>
      <c r="D220" t="s">
        <v>16</v>
      </c>
      <c r="E220" t="s">
        <v>15</v>
      </c>
      <c r="F220">
        <v>22</v>
      </c>
      <c r="G220" t="s">
        <v>22</v>
      </c>
      <c r="H220" t="s">
        <v>18</v>
      </c>
      <c r="I220" t="s">
        <v>23</v>
      </c>
      <c r="J220">
        <v>56.89</v>
      </c>
      <c r="K220">
        <v>1267.07</v>
      </c>
      <c r="L220" t="s">
        <v>15</v>
      </c>
      <c r="M220" t="str">
        <f t="shared" si="4"/>
        <v>1 to 2 years</v>
      </c>
    </row>
    <row r="221" spans="1:13">
      <c r="A221" t="s">
        <v>245</v>
      </c>
      <c r="B221" t="s">
        <v>14</v>
      </c>
      <c r="C221" t="s">
        <v>15</v>
      </c>
      <c r="D221" t="s">
        <v>15</v>
      </c>
      <c r="E221" t="s">
        <v>16</v>
      </c>
      <c r="F221">
        <v>24</v>
      </c>
      <c r="G221" t="s">
        <v>25</v>
      </c>
      <c r="H221" t="s">
        <v>18</v>
      </c>
      <c r="I221" t="s">
        <v>19</v>
      </c>
      <c r="J221">
        <v>105.14</v>
      </c>
      <c r="K221">
        <v>2506.75</v>
      </c>
      <c r="L221" t="s">
        <v>15</v>
      </c>
      <c r="M221" t="str">
        <f t="shared" si="4"/>
        <v>1 to 2 years</v>
      </c>
    </row>
    <row r="222" spans="1:13">
      <c r="A222" t="s">
        <v>246</v>
      </c>
      <c r="B222" t="s">
        <v>14</v>
      </c>
      <c r="C222" t="s">
        <v>15</v>
      </c>
      <c r="D222" t="s">
        <v>15</v>
      </c>
      <c r="E222" t="s">
        <v>15</v>
      </c>
      <c r="F222">
        <v>20</v>
      </c>
      <c r="G222" t="s">
        <v>22</v>
      </c>
      <c r="H222" t="s">
        <v>18</v>
      </c>
      <c r="I222" t="s">
        <v>23</v>
      </c>
      <c r="J222">
        <v>74.08</v>
      </c>
      <c r="K222">
        <v>1360.08</v>
      </c>
      <c r="L222" t="s">
        <v>15</v>
      </c>
      <c r="M222" t="str">
        <f t="shared" si="4"/>
        <v>1 to 2 years</v>
      </c>
    </row>
    <row r="223" spans="1:13">
      <c r="A223" t="s">
        <v>247</v>
      </c>
      <c r="B223" t="s">
        <v>14</v>
      </c>
      <c r="C223" t="s">
        <v>15</v>
      </c>
      <c r="D223" t="s">
        <v>15</v>
      </c>
      <c r="E223" t="s">
        <v>15</v>
      </c>
      <c r="F223">
        <v>60</v>
      </c>
      <c r="G223" t="s">
        <v>17</v>
      </c>
      <c r="H223" t="s">
        <v>18</v>
      </c>
      <c r="I223" t="s">
        <v>26</v>
      </c>
      <c r="J223">
        <v>83.27</v>
      </c>
      <c r="K223">
        <v>5109.28</v>
      </c>
      <c r="L223" t="s">
        <v>15</v>
      </c>
      <c r="M223" t="str">
        <f t="shared" si="4"/>
        <v>4 to 5 years</v>
      </c>
    </row>
    <row r="224" spans="1:13">
      <c r="A224" t="s">
        <v>248</v>
      </c>
      <c r="B224" t="s">
        <v>21</v>
      </c>
      <c r="C224" t="s">
        <v>16</v>
      </c>
      <c r="D224" t="s">
        <v>15</v>
      </c>
      <c r="E224" t="s">
        <v>16</v>
      </c>
      <c r="F224">
        <v>62</v>
      </c>
      <c r="G224" t="s">
        <v>22</v>
      </c>
      <c r="H224" t="s">
        <v>18</v>
      </c>
      <c r="I224" t="s">
        <v>36</v>
      </c>
      <c r="J224">
        <v>79.97</v>
      </c>
      <c r="K224">
        <v>4903.68</v>
      </c>
      <c r="L224" t="s">
        <v>15</v>
      </c>
      <c r="M224" t="str">
        <f t="shared" si="4"/>
        <v>5 to 6 years</v>
      </c>
    </row>
    <row r="225" spans="1:13">
      <c r="A225" t="s">
        <v>249</v>
      </c>
      <c r="B225" t="s">
        <v>21</v>
      </c>
      <c r="C225" t="s">
        <v>15</v>
      </c>
      <c r="D225" t="s">
        <v>16</v>
      </c>
      <c r="E225" t="s">
        <v>16</v>
      </c>
      <c r="F225">
        <v>51</v>
      </c>
      <c r="G225" t="s">
        <v>22</v>
      </c>
      <c r="H225" t="s">
        <v>18</v>
      </c>
      <c r="I225" t="s">
        <v>36</v>
      </c>
      <c r="J225">
        <v>108.11</v>
      </c>
      <c r="K225">
        <v>5520.87</v>
      </c>
      <c r="L225" t="s">
        <v>15</v>
      </c>
      <c r="M225" t="str">
        <f t="shared" si="4"/>
        <v>4 to 5 years</v>
      </c>
    </row>
    <row r="226" spans="1:13">
      <c r="A226" t="s">
        <v>250</v>
      </c>
      <c r="B226" t="s">
        <v>21</v>
      </c>
      <c r="C226" t="s">
        <v>15</v>
      </c>
      <c r="D226" t="s">
        <v>15</v>
      </c>
      <c r="E226" t="s">
        <v>16</v>
      </c>
      <c r="F226">
        <v>24</v>
      </c>
      <c r="G226" t="s">
        <v>22</v>
      </c>
      <c r="H226" t="s">
        <v>15</v>
      </c>
      <c r="I226" t="s">
        <v>26</v>
      </c>
      <c r="J226">
        <v>106.22</v>
      </c>
      <c r="K226">
        <v>2576.7800000000002</v>
      </c>
      <c r="L226" t="s">
        <v>16</v>
      </c>
      <c r="M226" t="str">
        <f t="shared" si="4"/>
        <v>1 to 2 years</v>
      </c>
    </row>
    <row r="227" spans="1:13">
      <c r="A227" t="s">
        <v>251</v>
      </c>
      <c r="B227" t="s">
        <v>21</v>
      </c>
      <c r="C227" t="s">
        <v>15</v>
      </c>
      <c r="D227" t="s">
        <v>15</v>
      </c>
      <c r="E227" t="s">
        <v>15</v>
      </c>
      <c r="F227">
        <v>54</v>
      </c>
      <c r="G227" t="s">
        <v>17</v>
      </c>
      <c r="H227" t="s">
        <v>34</v>
      </c>
      <c r="I227" t="s">
        <v>19</v>
      </c>
      <c r="J227">
        <v>41.63</v>
      </c>
      <c r="K227">
        <v>2233.34</v>
      </c>
      <c r="L227" t="s">
        <v>15</v>
      </c>
      <c r="M227" t="str">
        <f t="shared" si="4"/>
        <v>4 to 5 years</v>
      </c>
    </row>
    <row r="228" spans="1:13">
      <c r="A228" t="s">
        <v>252</v>
      </c>
      <c r="B228" t="s">
        <v>14</v>
      </c>
      <c r="C228" t="s">
        <v>16</v>
      </c>
      <c r="D228" t="s">
        <v>16</v>
      </c>
      <c r="E228" t="s">
        <v>15</v>
      </c>
      <c r="F228">
        <v>45</v>
      </c>
      <c r="G228" t="s">
        <v>25</v>
      </c>
      <c r="H228" t="s">
        <v>34</v>
      </c>
      <c r="I228" t="s">
        <v>36</v>
      </c>
      <c r="J228">
        <v>46.19</v>
      </c>
      <c r="K228">
        <v>2186.92</v>
      </c>
      <c r="L228" t="s">
        <v>15</v>
      </c>
      <c r="M228" t="str">
        <f t="shared" si="4"/>
        <v>3 to 4 years</v>
      </c>
    </row>
    <row r="229" spans="1:13">
      <c r="A229" t="s">
        <v>253</v>
      </c>
      <c r="B229" t="s">
        <v>21</v>
      </c>
      <c r="C229" t="s">
        <v>15</v>
      </c>
      <c r="D229" t="s">
        <v>15</v>
      </c>
      <c r="E229" t="s">
        <v>15</v>
      </c>
      <c r="F229">
        <v>31</v>
      </c>
      <c r="G229" t="s">
        <v>25</v>
      </c>
      <c r="H229" t="s">
        <v>18</v>
      </c>
      <c r="I229" t="s">
        <v>26</v>
      </c>
      <c r="J229">
        <v>88.04</v>
      </c>
      <c r="K229">
        <v>2631.53</v>
      </c>
      <c r="L229" t="s">
        <v>15</v>
      </c>
      <c r="M229" t="str">
        <f t="shared" si="4"/>
        <v>2 to 3 years</v>
      </c>
    </row>
    <row r="230" spans="1:13">
      <c r="A230" t="s">
        <v>254</v>
      </c>
      <c r="B230" t="s">
        <v>14</v>
      </c>
      <c r="C230" t="s">
        <v>15</v>
      </c>
      <c r="D230" t="s">
        <v>16</v>
      </c>
      <c r="E230" t="s">
        <v>16</v>
      </c>
      <c r="F230">
        <v>54</v>
      </c>
      <c r="G230" t="s">
        <v>22</v>
      </c>
      <c r="H230" t="s">
        <v>18</v>
      </c>
      <c r="I230" t="s">
        <v>23</v>
      </c>
      <c r="J230">
        <v>59.59</v>
      </c>
      <c r="K230">
        <v>3356.57</v>
      </c>
      <c r="L230" t="s">
        <v>15</v>
      </c>
      <c r="M230" t="str">
        <f t="shared" si="4"/>
        <v>4 to 5 years</v>
      </c>
    </row>
    <row r="231" spans="1:13">
      <c r="A231" t="s">
        <v>255</v>
      </c>
      <c r="B231" t="s">
        <v>14</v>
      </c>
      <c r="C231" t="s">
        <v>15</v>
      </c>
      <c r="D231" t="s">
        <v>15</v>
      </c>
      <c r="E231" t="s">
        <v>16</v>
      </c>
      <c r="F231">
        <v>4</v>
      </c>
      <c r="G231" t="s">
        <v>17</v>
      </c>
      <c r="H231" t="s">
        <v>15</v>
      </c>
      <c r="I231" t="s">
        <v>36</v>
      </c>
      <c r="J231">
        <v>78.34</v>
      </c>
      <c r="K231">
        <v>367.08</v>
      </c>
      <c r="L231" t="s">
        <v>15</v>
      </c>
      <c r="M231" t="str">
        <f t="shared" si="4"/>
        <v>Up to 1 year</v>
      </c>
    </row>
    <row r="232" spans="1:13">
      <c r="A232" t="s">
        <v>256</v>
      </c>
      <c r="B232" t="s">
        <v>21</v>
      </c>
      <c r="C232" t="s">
        <v>15</v>
      </c>
      <c r="D232" t="s">
        <v>15</v>
      </c>
      <c r="E232" t="s">
        <v>15</v>
      </c>
      <c r="F232">
        <v>35</v>
      </c>
      <c r="G232" t="s">
        <v>17</v>
      </c>
      <c r="H232" t="s">
        <v>34</v>
      </c>
      <c r="I232" t="s">
        <v>19</v>
      </c>
      <c r="J232">
        <v>97.35</v>
      </c>
      <c r="K232">
        <v>3387.54</v>
      </c>
      <c r="L232" t="s">
        <v>15</v>
      </c>
      <c r="M232" t="str">
        <f t="shared" si="4"/>
        <v>2 to 3 years</v>
      </c>
    </row>
    <row r="233" spans="1:13">
      <c r="A233" t="s">
        <v>257</v>
      </c>
      <c r="B233" t="s">
        <v>21</v>
      </c>
      <c r="C233" t="s">
        <v>15</v>
      </c>
      <c r="D233" t="s">
        <v>15</v>
      </c>
      <c r="E233" t="s">
        <v>16</v>
      </c>
      <c r="F233">
        <v>48</v>
      </c>
      <c r="G233" t="s">
        <v>17</v>
      </c>
      <c r="H233" t="s">
        <v>18</v>
      </c>
      <c r="I233" t="s">
        <v>23</v>
      </c>
      <c r="J233">
        <v>66.34</v>
      </c>
      <c r="K233">
        <v>3165.5</v>
      </c>
      <c r="L233" t="s">
        <v>15</v>
      </c>
      <c r="M233" t="str">
        <f t="shared" si="4"/>
        <v>3 to 4 years</v>
      </c>
    </row>
    <row r="234" spans="1:13">
      <c r="A234" t="s">
        <v>258</v>
      </c>
      <c r="B234" t="s">
        <v>21</v>
      </c>
      <c r="C234" t="s">
        <v>15</v>
      </c>
      <c r="D234" t="s">
        <v>16</v>
      </c>
      <c r="E234" t="s">
        <v>15</v>
      </c>
      <c r="F234">
        <v>57</v>
      </c>
      <c r="G234" t="s">
        <v>22</v>
      </c>
      <c r="H234" t="s">
        <v>18</v>
      </c>
      <c r="I234" t="s">
        <v>23</v>
      </c>
      <c r="J234">
        <v>60.91</v>
      </c>
      <c r="K234">
        <v>3294.52</v>
      </c>
      <c r="L234" t="s">
        <v>15</v>
      </c>
      <c r="M234" t="str">
        <f t="shared" si="4"/>
        <v>4 to 5 years</v>
      </c>
    </row>
    <row r="235" spans="1:13">
      <c r="A235" t="s">
        <v>259</v>
      </c>
      <c r="B235" t="s">
        <v>21</v>
      </c>
      <c r="C235" t="s">
        <v>15</v>
      </c>
      <c r="D235" t="s">
        <v>15</v>
      </c>
      <c r="E235" t="s">
        <v>15</v>
      </c>
      <c r="F235">
        <v>38</v>
      </c>
      <c r="G235" t="s">
        <v>17</v>
      </c>
      <c r="H235" t="s">
        <v>18</v>
      </c>
      <c r="I235" t="s">
        <v>23</v>
      </c>
      <c r="J235">
        <v>73.13</v>
      </c>
      <c r="K235">
        <v>2711.08</v>
      </c>
      <c r="L235" t="s">
        <v>16</v>
      </c>
      <c r="M235" t="str">
        <f t="shared" si="4"/>
        <v>3 to 4 years</v>
      </c>
    </row>
    <row r="236" spans="1:13">
      <c r="A236" t="s">
        <v>260</v>
      </c>
      <c r="B236" t="s">
        <v>21</v>
      </c>
      <c r="C236" t="s">
        <v>15</v>
      </c>
      <c r="D236" t="s">
        <v>15</v>
      </c>
      <c r="E236" t="s">
        <v>15</v>
      </c>
      <c r="F236">
        <v>60</v>
      </c>
      <c r="G236" t="s">
        <v>25</v>
      </c>
      <c r="H236" t="s">
        <v>15</v>
      </c>
      <c r="I236" t="s">
        <v>19</v>
      </c>
      <c r="J236">
        <v>57.6</v>
      </c>
      <c r="K236">
        <v>3427.69</v>
      </c>
      <c r="L236" t="s">
        <v>15</v>
      </c>
      <c r="M236" t="str">
        <f t="shared" si="4"/>
        <v>4 to 5 years</v>
      </c>
    </row>
    <row r="237" spans="1:13">
      <c r="A237" t="s">
        <v>261</v>
      </c>
      <c r="B237" t="s">
        <v>21</v>
      </c>
      <c r="C237" t="s">
        <v>15</v>
      </c>
      <c r="D237" t="s">
        <v>15</v>
      </c>
      <c r="E237" t="s">
        <v>15</v>
      </c>
      <c r="F237">
        <v>8</v>
      </c>
      <c r="G237" t="s">
        <v>22</v>
      </c>
      <c r="H237" t="s">
        <v>34</v>
      </c>
      <c r="I237" t="s">
        <v>23</v>
      </c>
      <c r="J237">
        <v>77.87</v>
      </c>
      <c r="K237">
        <v>637.04999999999995</v>
      </c>
      <c r="L237" t="s">
        <v>16</v>
      </c>
      <c r="M237" t="str">
        <f t="shared" si="4"/>
        <v>Up to 1 year</v>
      </c>
    </row>
    <row r="238" spans="1:13">
      <c r="A238" t="s">
        <v>262</v>
      </c>
      <c r="B238" t="s">
        <v>21</v>
      </c>
      <c r="C238" t="s">
        <v>15</v>
      </c>
      <c r="D238" t="s">
        <v>16</v>
      </c>
      <c r="E238" t="s">
        <v>15</v>
      </c>
      <c r="F238">
        <v>5</v>
      </c>
      <c r="G238" t="s">
        <v>25</v>
      </c>
      <c r="H238" t="s">
        <v>18</v>
      </c>
      <c r="I238" t="s">
        <v>23</v>
      </c>
      <c r="J238">
        <v>23.68</v>
      </c>
      <c r="K238">
        <v>219.17</v>
      </c>
      <c r="L238" t="s">
        <v>15</v>
      </c>
      <c r="M238" t="str">
        <f t="shared" si="4"/>
        <v>Up to 1 year</v>
      </c>
    </row>
    <row r="239" spans="1:13">
      <c r="A239" t="s">
        <v>263</v>
      </c>
      <c r="B239" t="s">
        <v>21</v>
      </c>
      <c r="C239" t="s">
        <v>15</v>
      </c>
      <c r="D239" t="s">
        <v>16</v>
      </c>
      <c r="E239" t="s">
        <v>16</v>
      </c>
      <c r="F239">
        <v>34</v>
      </c>
      <c r="G239" t="s">
        <v>17</v>
      </c>
      <c r="H239" t="s">
        <v>15</v>
      </c>
      <c r="I239" t="s">
        <v>23</v>
      </c>
      <c r="J239">
        <v>30.81</v>
      </c>
      <c r="K239">
        <v>1210.54</v>
      </c>
      <c r="L239" t="s">
        <v>16</v>
      </c>
      <c r="M239" t="str">
        <f t="shared" si="4"/>
        <v>2 to 3 years</v>
      </c>
    </row>
    <row r="240" spans="1:13">
      <c r="A240" t="s">
        <v>264</v>
      </c>
      <c r="B240" t="s">
        <v>14</v>
      </c>
      <c r="C240" t="s">
        <v>15</v>
      </c>
      <c r="D240" t="s">
        <v>15</v>
      </c>
      <c r="E240" t="s">
        <v>16</v>
      </c>
      <c r="F240">
        <v>38</v>
      </c>
      <c r="G240" t="s">
        <v>22</v>
      </c>
      <c r="H240" t="s">
        <v>15</v>
      </c>
      <c r="I240" t="s">
        <v>26</v>
      </c>
      <c r="J240">
        <v>44.9</v>
      </c>
      <c r="K240">
        <v>1727.98</v>
      </c>
      <c r="L240" t="s">
        <v>15</v>
      </c>
      <c r="M240" t="str">
        <f t="shared" si="4"/>
        <v>3 to 4 years</v>
      </c>
    </row>
    <row r="241" spans="1:13">
      <c r="A241" t="s">
        <v>265</v>
      </c>
      <c r="B241" t="s">
        <v>21</v>
      </c>
      <c r="C241" t="s">
        <v>15</v>
      </c>
      <c r="D241" t="s">
        <v>16</v>
      </c>
      <c r="E241" t="s">
        <v>16</v>
      </c>
      <c r="F241">
        <v>21</v>
      </c>
      <c r="G241" t="s">
        <v>22</v>
      </c>
      <c r="H241" t="s">
        <v>18</v>
      </c>
      <c r="I241" t="s">
        <v>26</v>
      </c>
      <c r="J241">
        <v>60.08</v>
      </c>
      <c r="K241">
        <v>1278.1300000000001</v>
      </c>
      <c r="L241" t="s">
        <v>15</v>
      </c>
      <c r="M241" t="str">
        <f t="shared" si="4"/>
        <v>1 to 2 years</v>
      </c>
    </row>
    <row r="242" spans="1:13">
      <c r="A242" t="s">
        <v>266</v>
      </c>
      <c r="B242" t="s">
        <v>21</v>
      </c>
      <c r="C242" t="s">
        <v>15</v>
      </c>
      <c r="D242" t="s">
        <v>15</v>
      </c>
      <c r="E242" t="s">
        <v>15</v>
      </c>
      <c r="F242">
        <v>40</v>
      </c>
      <c r="G242" t="s">
        <v>22</v>
      </c>
      <c r="H242" t="s">
        <v>18</v>
      </c>
      <c r="I242" t="s">
        <v>23</v>
      </c>
      <c r="J242">
        <v>20</v>
      </c>
      <c r="K242">
        <v>760.77</v>
      </c>
      <c r="L242" t="s">
        <v>15</v>
      </c>
      <c r="M242" t="str">
        <f t="shared" si="4"/>
        <v>3 to 4 years</v>
      </c>
    </row>
    <row r="243" spans="1:13">
      <c r="A243" t="s">
        <v>267</v>
      </c>
      <c r="B243" t="s">
        <v>14</v>
      </c>
      <c r="C243" t="s">
        <v>15</v>
      </c>
      <c r="D243" t="s">
        <v>15</v>
      </c>
      <c r="E243" t="s">
        <v>16</v>
      </c>
      <c r="F243">
        <v>4</v>
      </c>
      <c r="G243" t="s">
        <v>22</v>
      </c>
      <c r="H243" t="s">
        <v>34</v>
      </c>
      <c r="I243" t="s">
        <v>23</v>
      </c>
      <c r="J243">
        <v>22.79</v>
      </c>
      <c r="K243">
        <v>11.395</v>
      </c>
      <c r="L243" t="s">
        <v>15</v>
      </c>
      <c r="M243" t="str">
        <f t="shared" si="4"/>
        <v>Up to 1 year</v>
      </c>
    </row>
    <row r="244" spans="1:13">
      <c r="A244" t="s">
        <v>268</v>
      </c>
      <c r="B244" t="s">
        <v>21</v>
      </c>
      <c r="C244" t="s">
        <v>15</v>
      </c>
      <c r="D244" t="s">
        <v>15</v>
      </c>
      <c r="E244" t="s">
        <v>15</v>
      </c>
      <c r="F244">
        <v>41</v>
      </c>
      <c r="G244" t="s">
        <v>25</v>
      </c>
      <c r="H244" t="s">
        <v>18</v>
      </c>
      <c r="I244" t="s">
        <v>23</v>
      </c>
      <c r="J244">
        <v>47.37</v>
      </c>
      <c r="K244">
        <v>1893.71</v>
      </c>
      <c r="L244" t="s">
        <v>15</v>
      </c>
      <c r="M244" t="str">
        <f t="shared" si="4"/>
        <v>3 to 4 years</v>
      </c>
    </row>
    <row r="245" spans="1:13">
      <c r="A245" t="s">
        <v>269</v>
      </c>
      <c r="B245" t="s">
        <v>14</v>
      </c>
      <c r="C245" t="s">
        <v>15</v>
      </c>
      <c r="D245" t="s">
        <v>15</v>
      </c>
      <c r="E245" t="s">
        <v>15</v>
      </c>
      <c r="F245">
        <v>66</v>
      </c>
      <c r="G245" t="s">
        <v>22</v>
      </c>
      <c r="H245" t="s">
        <v>18</v>
      </c>
      <c r="I245" t="s">
        <v>36</v>
      </c>
      <c r="J245">
        <v>77.12</v>
      </c>
      <c r="K245">
        <v>5073.4799999999996</v>
      </c>
      <c r="L245" t="s">
        <v>15</v>
      </c>
      <c r="M245" t="str">
        <f t="shared" si="4"/>
        <v>5 to 6 years</v>
      </c>
    </row>
    <row r="246" spans="1:13">
      <c r="A246" t="s">
        <v>270</v>
      </c>
      <c r="B246" t="s">
        <v>14</v>
      </c>
      <c r="C246" t="s">
        <v>15</v>
      </c>
      <c r="D246" t="s">
        <v>15</v>
      </c>
      <c r="E246" t="s">
        <v>15</v>
      </c>
      <c r="F246">
        <v>29</v>
      </c>
      <c r="G246" t="s">
        <v>25</v>
      </c>
      <c r="H246" t="s">
        <v>18</v>
      </c>
      <c r="I246" t="s">
        <v>19</v>
      </c>
      <c r="J246">
        <v>69.09</v>
      </c>
      <c r="K246">
        <v>2081.64</v>
      </c>
      <c r="L246" t="s">
        <v>15</v>
      </c>
      <c r="M246" t="str">
        <f t="shared" si="4"/>
        <v>2 to 3 years</v>
      </c>
    </row>
    <row r="247" spans="1:13">
      <c r="A247" t="s">
        <v>271</v>
      </c>
      <c r="B247" t="s">
        <v>21</v>
      </c>
      <c r="C247" t="s">
        <v>15</v>
      </c>
      <c r="D247" t="s">
        <v>15</v>
      </c>
      <c r="E247" t="s">
        <v>15</v>
      </c>
      <c r="F247">
        <v>56</v>
      </c>
      <c r="G247" t="s">
        <v>25</v>
      </c>
      <c r="H247" t="s">
        <v>34</v>
      </c>
      <c r="I247" t="s">
        <v>19</v>
      </c>
      <c r="J247">
        <v>54.21</v>
      </c>
      <c r="K247">
        <v>3077.32</v>
      </c>
      <c r="L247" t="s">
        <v>15</v>
      </c>
      <c r="M247" t="str">
        <f t="shared" si="4"/>
        <v>4 to 5 years</v>
      </c>
    </row>
    <row r="248" spans="1:13">
      <c r="A248" t="s">
        <v>272</v>
      </c>
      <c r="B248" t="s">
        <v>14</v>
      </c>
      <c r="C248" t="s">
        <v>15</v>
      </c>
      <c r="D248" t="s">
        <v>15</v>
      </c>
      <c r="E248" t="s">
        <v>16</v>
      </c>
      <c r="F248">
        <v>72</v>
      </c>
      <c r="G248" t="s">
        <v>22</v>
      </c>
      <c r="H248" t="s">
        <v>34</v>
      </c>
      <c r="I248" t="s">
        <v>23</v>
      </c>
      <c r="J248">
        <v>89.91</v>
      </c>
      <c r="K248">
        <v>6491.24</v>
      </c>
      <c r="L248" t="s">
        <v>15</v>
      </c>
      <c r="M248" t="str">
        <f t="shared" si="4"/>
        <v>5 to 6 years</v>
      </c>
    </row>
    <row r="249" spans="1:13">
      <c r="A249" t="s">
        <v>273</v>
      </c>
      <c r="B249" t="s">
        <v>14</v>
      </c>
      <c r="C249" t="s">
        <v>15</v>
      </c>
      <c r="D249" t="s">
        <v>16</v>
      </c>
      <c r="E249" t="s">
        <v>15</v>
      </c>
      <c r="F249">
        <v>28</v>
      </c>
      <c r="G249" t="s">
        <v>25</v>
      </c>
      <c r="H249" t="s">
        <v>34</v>
      </c>
      <c r="I249" t="s">
        <v>26</v>
      </c>
      <c r="J249">
        <v>89.9</v>
      </c>
      <c r="K249">
        <v>2470.7399999999998</v>
      </c>
      <c r="L249" t="s">
        <v>15</v>
      </c>
      <c r="M249" t="str">
        <f t="shared" si="4"/>
        <v>2 to 3 years</v>
      </c>
    </row>
    <row r="250" spans="1:13">
      <c r="A250" t="s">
        <v>274</v>
      </c>
      <c r="B250" t="s">
        <v>14</v>
      </c>
      <c r="C250" t="s">
        <v>15</v>
      </c>
      <c r="D250" t="s">
        <v>16</v>
      </c>
      <c r="E250" t="s">
        <v>15</v>
      </c>
      <c r="F250">
        <v>36</v>
      </c>
      <c r="G250" t="s">
        <v>25</v>
      </c>
      <c r="H250" t="s">
        <v>34</v>
      </c>
      <c r="I250" t="s">
        <v>19</v>
      </c>
      <c r="J250">
        <v>73.75</v>
      </c>
      <c r="K250">
        <v>2496.4299999999998</v>
      </c>
      <c r="L250" t="s">
        <v>15</v>
      </c>
      <c r="M250" t="str">
        <f t="shared" si="4"/>
        <v>2 to 3 years</v>
      </c>
    </row>
    <row r="251" spans="1:13">
      <c r="A251" t="s">
        <v>275</v>
      </c>
      <c r="B251" t="s">
        <v>14</v>
      </c>
      <c r="C251" t="s">
        <v>15</v>
      </c>
      <c r="D251" t="s">
        <v>16</v>
      </c>
      <c r="E251" t="s">
        <v>16</v>
      </c>
      <c r="F251">
        <v>12</v>
      </c>
      <c r="G251" t="s">
        <v>17</v>
      </c>
      <c r="H251" t="s">
        <v>34</v>
      </c>
      <c r="I251" t="s">
        <v>23</v>
      </c>
      <c r="J251">
        <v>73</v>
      </c>
      <c r="K251">
        <v>722.26</v>
      </c>
      <c r="L251" t="s">
        <v>16</v>
      </c>
      <c r="M251" t="str">
        <f t="shared" si="4"/>
        <v>Up to 1 year</v>
      </c>
    </row>
    <row r="252" spans="1:13">
      <c r="A252" t="s">
        <v>276</v>
      </c>
      <c r="B252" t="s">
        <v>21</v>
      </c>
      <c r="C252" t="s">
        <v>16</v>
      </c>
      <c r="D252" t="s">
        <v>16</v>
      </c>
      <c r="E252" t="s">
        <v>16</v>
      </c>
      <c r="F252">
        <v>31</v>
      </c>
      <c r="G252" t="s">
        <v>17</v>
      </c>
      <c r="H252" t="s">
        <v>18</v>
      </c>
      <c r="I252" t="s">
        <v>23</v>
      </c>
      <c r="J252">
        <v>58.58</v>
      </c>
      <c r="K252">
        <v>1682.88</v>
      </c>
      <c r="L252" t="s">
        <v>15</v>
      </c>
      <c r="M252" t="str">
        <f t="shared" si="4"/>
        <v>2 to 3 years</v>
      </c>
    </row>
    <row r="253" spans="1:13">
      <c r="A253" t="s">
        <v>277</v>
      </c>
      <c r="B253" t="s">
        <v>14</v>
      </c>
      <c r="C253" t="s">
        <v>15</v>
      </c>
      <c r="D253" t="s">
        <v>16</v>
      </c>
      <c r="E253" t="s">
        <v>15</v>
      </c>
      <c r="F253">
        <v>45</v>
      </c>
      <c r="G253" t="s">
        <v>25</v>
      </c>
      <c r="H253" t="s">
        <v>34</v>
      </c>
      <c r="I253" t="s">
        <v>19</v>
      </c>
      <c r="J253">
        <v>51.58</v>
      </c>
      <c r="K253">
        <v>2297.7399999999998</v>
      </c>
      <c r="L253" t="s">
        <v>15</v>
      </c>
      <c r="M253" t="str">
        <f t="shared" si="4"/>
        <v>3 to 4 years</v>
      </c>
    </row>
    <row r="254" spans="1:13">
      <c r="A254" t="s">
        <v>278</v>
      </c>
      <c r="B254" t="s">
        <v>21</v>
      </c>
      <c r="C254" t="s">
        <v>15</v>
      </c>
      <c r="D254" t="s">
        <v>16</v>
      </c>
      <c r="E254" t="s">
        <v>15</v>
      </c>
      <c r="F254">
        <v>22</v>
      </c>
      <c r="G254" t="s">
        <v>17</v>
      </c>
      <c r="H254" t="s">
        <v>34</v>
      </c>
      <c r="I254" t="s">
        <v>36</v>
      </c>
      <c r="J254">
        <v>27.31</v>
      </c>
      <c r="K254">
        <v>680.34</v>
      </c>
      <c r="L254" t="s">
        <v>15</v>
      </c>
      <c r="M254" t="str">
        <f t="shared" si="4"/>
        <v>1 to 2 years</v>
      </c>
    </row>
    <row r="255" spans="1:13">
      <c r="A255" t="s">
        <v>279</v>
      </c>
      <c r="B255" t="s">
        <v>14</v>
      </c>
      <c r="C255" t="s">
        <v>15</v>
      </c>
      <c r="D255" t="s">
        <v>16</v>
      </c>
      <c r="E255" t="s">
        <v>15</v>
      </c>
      <c r="F255">
        <v>44</v>
      </c>
      <c r="G255" t="s">
        <v>22</v>
      </c>
      <c r="H255" t="s">
        <v>18</v>
      </c>
      <c r="I255" t="s">
        <v>36</v>
      </c>
      <c r="J255">
        <v>73.73</v>
      </c>
      <c r="K255">
        <v>3321.49</v>
      </c>
      <c r="L255" t="s">
        <v>15</v>
      </c>
      <c r="M255" t="str">
        <f t="shared" si="4"/>
        <v>3 to 4 years</v>
      </c>
    </row>
    <row r="256" spans="1:13">
      <c r="A256" t="s">
        <v>280</v>
      </c>
      <c r="B256" t="s">
        <v>14</v>
      </c>
      <c r="C256" t="s">
        <v>16</v>
      </c>
      <c r="D256" t="s">
        <v>15</v>
      </c>
      <c r="E256" t="s">
        <v>15</v>
      </c>
      <c r="F256">
        <v>16</v>
      </c>
      <c r="G256" t="s">
        <v>25</v>
      </c>
      <c r="H256" t="s">
        <v>34</v>
      </c>
      <c r="I256" t="s">
        <v>26</v>
      </c>
      <c r="J256">
        <v>89.64</v>
      </c>
      <c r="K256">
        <v>1497.74</v>
      </c>
      <c r="L256" t="s">
        <v>15</v>
      </c>
      <c r="M256" t="str">
        <f t="shared" si="4"/>
        <v>1 to 2 years</v>
      </c>
    </row>
    <row r="257" spans="1:13">
      <c r="A257" t="s">
        <v>281</v>
      </c>
      <c r="B257" t="s">
        <v>14</v>
      </c>
      <c r="C257" t="s">
        <v>15</v>
      </c>
      <c r="D257" t="s">
        <v>15</v>
      </c>
      <c r="E257" t="s">
        <v>15</v>
      </c>
      <c r="F257">
        <v>65</v>
      </c>
      <c r="G257" t="s">
        <v>17</v>
      </c>
      <c r="H257" t="s">
        <v>34</v>
      </c>
      <c r="I257" t="s">
        <v>26</v>
      </c>
      <c r="J257">
        <v>103.86</v>
      </c>
      <c r="K257">
        <v>6709.69</v>
      </c>
      <c r="L257" t="s">
        <v>15</v>
      </c>
      <c r="M257" t="str">
        <f t="shared" si="4"/>
        <v>5 to 6 years</v>
      </c>
    </row>
    <row r="258" spans="1:13">
      <c r="A258" t="s">
        <v>282</v>
      </c>
      <c r="B258" t="s">
        <v>14</v>
      </c>
      <c r="C258" t="s">
        <v>15</v>
      </c>
      <c r="D258" t="s">
        <v>15</v>
      </c>
      <c r="E258" t="s">
        <v>15</v>
      </c>
      <c r="F258">
        <v>5</v>
      </c>
      <c r="G258" t="s">
        <v>17</v>
      </c>
      <c r="H258" t="s">
        <v>34</v>
      </c>
      <c r="I258" t="s">
        <v>23</v>
      </c>
      <c r="J258">
        <v>63.88</v>
      </c>
      <c r="K258">
        <v>410.94</v>
      </c>
      <c r="L258" t="s">
        <v>15</v>
      </c>
      <c r="M258" t="str">
        <f t="shared" si="4"/>
        <v>Up to 1 year</v>
      </c>
    </row>
    <row r="259" spans="1:13">
      <c r="A259" t="s">
        <v>283</v>
      </c>
      <c r="B259" t="s">
        <v>21</v>
      </c>
      <c r="C259" t="s">
        <v>15</v>
      </c>
      <c r="D259" t="s">
        <v>15</v>
      </c>
      <c r="E259" t="s">
        <v>15</v>
      </c>
      <c r="F259">
        <v>17</v>
      </c>
      <c r="G259" t="s">
        <v>22</v>
      </c>
      <c r="H259" t="s">
        <v>34</v>
      </c>
      <c r="I259" t="s">
        <v>26</v>
      </c>
      <c r="J259">
        <v>82.29</v>
      </c>
      <c r="K259">
        <v>1324.44</v>
      </c>
      <c r="L259" t="s">
        <v>15</v>
      </c>
      <c r="M259" t="str">
        <f t="shared" ref="M259:M322" si="5">IF(F259=0,"Just signed",IF(F259&lt;=12,"Up to 1 year",IF(F259&lt;=24,"1 to 2 years",IF(F259&lt;=36,"2 to 3 years",IF(F259&lt;=48,"3 to 4 years",IF(F259&lt;=60,"4 to 5 years","5 to 6 years"))))))</f>
        <v>1 to 2 years</v>
      </c>
    </row>
    <row r="260" spans="1:13">
      <c r="A260" t="s">
        <v>284</v>
      </c>
      <c r="B260" t="s">
        <v>21</v>
      </c>
      <c r="C260" t="s">
        <v>15</v>
      </c>
      <c r="D260" t="s">
        <v>16</v>
      </c>
      <c r="E260" t="s">
        <v>15</v>
      </c>
      <c r="F260">
        <v>21</v>
      </c>
      <c r="G260" t="s">
        <v>17</v>
      </c>
      <c r="H260" t="s">
        <v>18</v>
      </c>
      <c r="I260" t="s">
        <v>26</v>
      </c>
      <c r="J260">
        <v>20</v>
      </c>
      <c r="K260">
        <v>488.27</v>
      </c>
      <c r="L260" t="s">
        <v>15</v>
      </c>
      <c r="M260" t="str">
        <f t="shared" si="5"/>
        <v>1 to 2 years</v>
      </c>
    </row>
    <row r="261" spans="1:13">
      <c r="A261" t="s">
        <v>285</v>
      </c>
      <c r="B261" t="s">
        <v>14</v>
      </c>
      <c r="C261" t="s">
        <v>15</v>
      </c>
      <c r="D261" t="s">
        <v>16</v>
      </c>
      <c r="E261" t="s">
        <v>15</v>
      </c>
      <c r="F261">
        <v>32</v>
      </c>
      <c r="G261" t="s">
        <v>22</v>
      </c>
      <c r="H261" t="s">
        <v>34</v>
      </c>
      <c r="I261" t="s">
        <v>23</v>
      </c>
      <c r="J261">
        <v>59.18</v>
      </c>
      <c r="K261">
        <v>1759.79</v>
      </c>
      <c r="L261" t="s">
        <v>15</v>
      </c>
      <c r="M261" t="str">
        <f t="shared" si="5"/>
        <v>2 to 3 years</v>
      </c>
    </row>
    <row r="262" spans="1:13">
      <c r="A262" t="s">
        <v>286</v>
      </c>
      <c r="B262" t="s">
        <v>14</v>
      </c>
      <c r="C262" t="s">
        <v>16</v>
      </c>
      <c r="D262" t="s">
        <v>15</v>
      </c>
      <c r="E262" t="s">
        <v>15</v>
      </c>
      <c r="F262">
        <v>29</v>
      </c>
      <c r="G262" t="s">
        <v>25</v>
      </c>
      <c r="H262" t="s">
        <v>18</v>
      </c>
      <c r="I262" t="s">
        <v>36</v>
      </c>
      <c r="J262">
        <v>68.59</v>
      </c>
      <c r="K262">
        <v>1894.94</v>
      </c>
      <c r="L262" t="s">
        <v>15</v>
      </c>
      <c r="M262" t="str">
        <f t="shared" si="5"/>
        <v>2 to 3 years</v>
      </c>
    </row>
    <row r="263" spans="1:13">
      <c r="A263" t="s">
        <v>287</v>
      </c>
      <c r="B263" t="s">
        <v>21</v>
      </c>
      <c r="C263" t="s">
        <v>15</v>
      </c>
      <c r="D263" t="s">
        <v>15</v>
      </c>
      <c r="E263" t="s">
        <v>15</v>
      </c>
      <c r="F263">
        <v>31</v>
      </c>
      <c r="G263" t="s">
        <v>22</v>
      </c>
      <c r="H263" t="s">
        <v>15</v>
      </c>
      <c r="I263" t="s">
        <v>23</v>
      </c>
      <c r="J263">
        <v>92.28</v>
      </c>
      <c r="K263">
        <v>2992.89</v>
      </c>
      <c r="L263" t="s">
        <v>15</v>
      </c>
      <c r="M263" t="str">
        <f t="shared" si="5"/>
        <v>2 to 3 years</v>
      </c>
    </row>
    <row r="264" spans="1:13">
      <c r="A264" t="s">
        <v>288</v>
      </c>
      <c r="B264" t="s">
        <v>14</v>
      </c>
      <c r="C264" t="s">
        <v>15</v>
      </c>
      <c r="D264" t="s">
        <v>16</v>
      </c>
      <c r="E264" t="s">
        <v>15</v>
      </c>
      <c r="F264">
        <v>41</v>
      </c>
      <c r="G264" t="s">
        <v>22</v>
      </c>
      <c r="H264" t="s">
        <v>18</v>
      </c>
      <c r="I264" t="s">
        <v>23</v>
      </c>
      <c r="J264">
        <v>89.82</v>
      </c>
      <c r="K264">
        <v>3666.31</v>
      </c>
      <c r="L264" t="s">
        <v>16</v>
      </c>
      <c r="M264" t="str">
        <f t="shared" si="5"/>
        <v>3 to 4 years</v>
      </c>
    </row>
    <row r="265" spans="1:13">
      <c r="A265" t="s">
        <v>289</v>
      </c>
      <c r="B265" t="s">
        <v>14</v>
      </c>
      <c r="C265" t="s">
        <v>15</v>
      </c>
      <c r="D265" t="s">
        <v>15</v>
      </c>
      <c r="E265" t="s">
        <v>15</v>
      </c>
      <c r="F265">
        <v>9</v>
      </c>
      <c r="G265" t="s">
        <v>22</v>
      </c>
      <c r="H265" t="s">
        <v>18</v>
      </c>
      <c r="I265" t="s">
        <v>26</v>
      </c>
      <c r="J265">
        <v>92.36</v>
      </c>
      <c r="K265">
        <v>776.76</v>
      </c>
      <c r="L265" t="s">
        <v>16</v>
      </c>
      <c r="M265" t="str">
        <f t="shared" si="5"/>
        <v>Up to 1 year</v>
      </c>
    </row>
    <row r="266" spans="1:13">
      <c r="A266" t="s">
        <v>290</v>
      </c>
      <c r="B266" t="s">
        <v>14</v>
      </c>
      <c r="C266" t="s">
        <v>16</v>
      </c>
      <c r="D266" t="s">
        <v>15</v>
      </c>
      <c r="E266" t="s">
        <v>15</v>
      </c>
      <c r="F266">
        <v>35</v>
      </c>
      <c r="G266" t="s">
        <v>22</v>
      </c>
      <c r="H266" t="s">
        <v>15</v>
      </c>
      <c r="I266" t="s">
        <v>26</v>
      </c>
      <c r="J266">
        <v>66.06</v>
      </c>
      <c r="K266">
        <v>2400.3200000000002</v>
      </c>
      <c r="L266" t="s">
        <v>15</v>
      </c>
      <c r="M266" t="str">
        <f t="shared" si="5"/>
        <v>2 to 3 years</v>
      </c>
    </row>
    <row r="267" spans="1:13">
      <c r="A267" t="s">
        <v>291</v>
      </c>
      <c r="B267" t="s">
        <v>21</v>
      </c>
      <c r="C267" t="s">
        <v>15</v>
      </c>
      <c r="D267" t="s">
        <v>15</v>
      </c>
      <c r="E267" t="s">
        <v>15</v>
      </c>
      <c r="F267">
        <v>33</v>
      </c>
      <c r="G267" t="s">
        <v>17</v>
      </c>
      <c r="H267" t="s">
        <v>18</v>
      </c>
      <c r="I267" t="s">
        <v>26</v>
      </c>
      <c r="J267">
        <v>81.14</v>
      </c>
      <c r="K267">
        <v>2775.01</v>
      </c>
      <c r="L267" t="s">
        <v>15</v>
      </c>
      <c r="M267" t="str">
        <f t="shared" si="5"/>
        <v>2 to 3 years</v>
      </c>
    </row>
    <row r="268" spans="1:13">
      <c r="A268" t="s">
        <v>292</v>
      </c>
      <c r="B268" t="s">
        <v>21</v>
      </c>
      <c r="C268" t="s">
        <v>15</v>
      </c>
      <c r="D268" t="s">
        <v>15</v>
      </c>
      <c r="E268" t="s">
        <v>15</v>
      </c>
      <c r="F268">
        <v>72</v>
      </c>
      <c r="G268" t="s">
        <v>25</v>
      </c>
      <c r="H268" t="s">
        <v>34</v>
      </c>
      <c r="I268" t="s">
        <v>23</v>
      </c>
      <c r="J268">
        <v>108.31</v>
      </c>
      <c r="K268">
        <v>7763.66</v>
      </c>
      <c r="L268" t="s">
        <v>15</v>
      </c>
      <c r="M268" t="str">
        <f t="shared" si="5"/>
        <v>5 to 6 years</v>
      </c>
    </row>
    <row r="269" spans="1:13">
      <c r="A269" t="s">
        <v>293</v>
      </c>
      <c r="B269" t="s">
        <v>21</v>
      </c>
      <c r="C269" t="s">
        <v>15</v>
      </c>
      <c r="D269" t="s">
        <v>16</v>
      </c>
      <c r="E269" t="s">
        <v>15</v>
      </c>
      <c r="F269">
        <v>27</v>
      </c>
      <c r="G269" t="s">
        <v>25</v>
      </c>
      <c r="H269" t="s">
        <v>18</v>
      </c>
      <c r="I269" t="s">
        <v>36</v>
      </c>
      <c r="J269">
        <v>22.37</v>
      </c>
      <c r="K269">
        <v>626.27</v>
      </c>
      <c r="L269" t="s">
        <v>15</v>
      </c>
      <c r="M269" t="str">
        <f t="shared" si="5"/>
        <v>2 to 3 years</v>
      </c>
    </row>
    <row r="270" spans="1:13">
      <c r="A270" t="s">
        <v>294</v>
      </c>
      <c r="B270" t="s">
        <v>14</v>
      </c>
      <c r="C270" t="s">
        <v>15</v>
      </c>
      <c r="D270" t="s">
        <v>15</v>
      </c>
      <c r="E270" t="s">
        <v>16</v>
      </c>
      <c r="F270">
        <v>10</v>
      </c>
      <c r="G270" t="s">
        <v>22</v>
      </c>
      <c r="H270" t="s">
        <v>15</v>
      </c>
      <c r="I270" t="s">
        <v>19</v>
      </c>
      <c r="J270">
        <v>58.66</v>
      </c>
      <c r="K270">
        <v>597.54999999999995</v>
      </c>
      <c r="L270" t="s">
        <v>15</v>
      </c>
      <c r="M270" t="str">
        <f t="shared" si="5"/>
        <v>Up to 1 year</v>
      </c>
    </row>
    <row r="271" spans="1:13">
      <c r="A271" t="s">
        <v>295</v>
      </c>
      <c r="B271" t="s">
        <v>14</v>
      </c>
      <c r="C271" t="s">
        <v>15</v>
      </c>
      <c r="D271" t="s">
        <v>15</v>
      </c>
      <c r="E271" t="s">
        <v>15</v>
      </c>
      <c r="F271">
        <v>38</v>
      </c>
      <c r="G271" t="s">
        <v>22</v>
      </c>
      <c r="H271" t="s">
        <v>34</v>
      </c>
      <c r="I271" t="s">
        <v>19</v>
      </c>
      <c r="J271">
        <v>98.25</v>
      </c>
      <c r="K271">
        <v>3507.33</v>
      </c>
      <c r="L271" t="s">
        <v>15</v>
      </c>
      <c r="M271" t="str">
        <f t="shared" si="5"/>
        <v>3 to 4 years</v>
      </c>
    </row>
    <row r="272" spans="1:13">
      <c r="A272" t="s">
        <v>296</v>
      </c>
      <c r="B272" t="s">
        <v>21</v>
      </c>
      <c r="C272" t="s">
        <v>16</v>
      </c>
      <c r="D272" t="s">
        <v>16</v>
      </c>
      <c r="E272" t="s">
        <v>16</v>
      </c>
      <c r="F272">
        <v>46</v>
      </c>
      <c r="G272" t="s">
        <v>25</v>
      </c>
      <c r="H272" t="s">
        <v>34</v>
      </c>
      <c r="I272" t="s">
        <v>36</v>
      </c>
      <c r="J272">
        <v>22.72</v>
      </c>
      <c r="K272">
        <v>933.45</v>
      </c>
      <c r="L272" t="s">
        <v>15</v>
      </c>
      <c r="M272" t="str">
        <f t="shared" si="5"/>
        <v>3 to 4 years</v>
      </c>
    </row>
    <row r="273" spans="1:13">
      <c r="A273" t="s">
        <v>297</v>
      </c>
      <c r="B273" t="s">
        <v>21</v>
      </c>
      <c r="C273" t="s">
        <v>15</v>
      </c>
      <c r="D273" t="s">
        <v>16</v>
      </c>
      <c r="E273" t="s">
        <v>15</v>
      </c>
      <c r="F273">
        <v>18</v>
      </c>
      <c r="G273" t="s">
        <v>25</v>
      </c>
      <c r="H273" t="s">
        <v>18</v>
      </c>
      <c r="I273" t="s">
        <v>26</v>
      </c>
      <c r="J273">
        <v>100.95</v>
      </c>
      <c r="K273">
        <v>1892.48</v>
      </c>
      <c r="L273" t="s">
        <v>15</v>
      </c>
      <c r="M273" t="str">
        <f t="shared" si="5"/>
        <v>1 to 2 years</v>
      </c>
    </row>
    <row r="274" spans="1:13">
      <c r="A274" t="s">
        <v>298</v>
      </c>
      <c r="B274" t="s">
        <v>21</v>
      </c>
      <c r="C274" t="s">
        <v>16</v>
      </c>
      <c r="D274" t="s">
        <v>15</v>
      </c>
      <c r="E274" t="s">
        <v>15</v>
      </c>
      <c r="F274">
        <v>14</v>
      </c>
      <c r="G274" t="s">
        <v>22</v>
      </c>
      <c r="H274" t="s">
        <v>18</v>
      </c>
      <c r="I274" t="s">
        <v>23</v>
      </c>
      <c r="J274">
        <v>60.97</v>
      </c>
      <c r="K274">
        <v>786.97</v>
      </c>
      <c r="L274" t="s">
        <v>16</v>
      </c>
      <c r="M274" t="str">
        <f t="shared" si="5"/>
        <v>1 to 2 years</v>
      </c>
    </row>
    <row r="275" spans="1:13">
      <c r="A275" t="s">
        <v>299</v>
      </c>
      <c r="B275" t="s">
        <v>21</v>
      </c>
      <c r="C275" t="s">
        <v>15</v>
      </c>
      <c r="D275" t="s">
        <v>16</v>
      </c>
      <c r="E275" t="s">
        <v>15</v>
      </c>
      <c r="F275">
        <v>27</v>
      </c>
      <c r="G275" t="s">
        <v>22</v>
      </c>
      <c r="H275" t="s">
        <v>34</v>
      </c>
      <c r="I275" t="s">
        <v>26</v>
      </c>
      <c r="J275">
        <v>72.75</v>
      </c>
      <c r="K275">
        <v>2006.64</v>
      </c>
      <c r="L275" t="s">
        <v>15</v>
      </c>
      <c r="M275" t="str">
        <f t="shared" si="5"/>
        <v>2 to 3 years</v>
      </c>
    </row>
    <row r="276" spans="1:13">
      <c r="A276" t="s">
        <v>300</v>
      </c>
      <c r="B276" t="s">
        <v>14</v>
      </c>
      <c r="C276" t="s">
        <v>15</v>
      </c>
      <c r="D276" t="s">
        <v>15</v>
      </c>
      <c r="E276" t="s">
        <v>15</v>
      </c>
      <c r="F276">
        <v>23</v>
      </c>
      <c r="G276" t="s">
        <v>22</v>
      </c>
      <c r="H276" t="s">
        <v>18</v>
      </c>
      <c r="I276" t="s">
        <v>23</v>
      </c>
      <c r="J276">
        <v>60.49</v>
      </c>
      <c r="K276">
        <v>1412.31</v>
      </c>
      <c r="L276" t="s">
        <v>16</v>
      </c>
      <c r="M276" t="str">
        <f t="shared" si="5"/>
        <v>1 to 2 years</v>
      </c>
    </row>
    <row r="277" spans="1:13">
      <c r="A277" t="s">
        <v>301</v>
      </c>
      <c r="B277" t="s">
        <v>21</v>
      </c>
      <c r="C277" t="s">
        <v>16</v>
      </c>
      <c r="D277" t="s">
        <v>15</v>
      </c>
      <c r="E277" t="s">
        <v>15</v>
      </c>
      <c r="F277">
        <v>71</v>
      </c>
      <c r="G277" t="s">
        <v>25</v>
      </c>
      <c r="H277" t="s">
        <v>34</v>
      </c>
      <c r="I277" t="s">
        <v>23</v>
      </c>
      <c r="J277">
        <v>93.98</v>
      </c>
      <c r="K277">
        <v>6769.81</v>
      </c>
      <c r="L277" t="s">
        <v>15</v>
      </c>
      <c r="M277" t="str">
        <f t="shared" si="5"/>
        <v>5 to 6 years</v>
      </c>
    </row>
    <row r="278" spans="1:13">
      <c r="A278" t="s">
        <v>302</v>
      </c>
      <c r="B278" t="s">
        <v>14</v>
      </c>
      <c r="C278" t="s">
        <v>15</v>
      </c>
      <c r="D278" t="s">
        <v>16</v>
      </c>
      <c r="E278" t="s">
        <v>15</v>
      </c>
      <c r="F278">
        <v>8</v>
      </c>
      <c r="G278" t="s">
        <v>17</v>
      </c>
      <c r="H278" t="s">
        <v>18</v>
      </c>
      <c r="I278" t="s">
        <v>19</v>
      </c>
      <c r="J278">
        <v>72.790000000000006</v>
      </c>
      <c r="K278">
        <v>473.22</v>
      </c>
      <c r="L278" t="s">
        <v>15</v>
      </c>
      <c r="M278" t="str">
        <f t="shared" si="5"/>
        <v>Up to 1 year</v>
      </c>
    </row>
    <row r="279" spans="1:13">
      <c r="A279" t="s">
        <v>303</v>
      </c>
      <c r="B279" t="s">
        <v>21</v>
      </c>
      <c r="C279" t="s">
        <v>15</v>
      </c>
      <c r="D279" t="s">
        <v>15</v>
      </c>
      <c r="E279" t="s">
        <v>15</v>
      </c>
      <c r="F279">
        <v>46</v>
      </c>
      <c r="G279" t="s">
        <v>22</v>
      </c>
      <c r="H279" t="s">
        <v>34</v>
      </c>
      <c r="I279" t="s">
        <v>36</v>
      </c>
      <c r="J279">
        <v>91.14</v>
      </c>
      <c r="K279">
        <v>4223.9799999999996</v>
      </c>
      <c r="L279" t="s">
        <v>15</v>
      </c>
      <c r="M279" t="str">
        <f t="shared" si="5"/>
        <v>3 to 4 years</v>
      </c>
    </row>
    <row r="280" spans="1:13">
      <c r="A280" t="s">
        <v>304</v>
      </c>
      <c r="B280" t="s">
        <v>14</v>
      </c>
      <c r="C280" t="s">
        <v>15</v>
      </c>
      <c r="D280" t="s">
        <v>15</v>
      </c>
      <c r="E280" t="s">
        <v>15</v>
      </c>
      <c r="F280">
        <v>32</v>
      </c>
      <c r="G280" t="s">
        <v>22</v>
      </c>
      <c r="H280" t="s">
        <v>34</v>
      </c>
      <c r="I280" t="s">
        <v>23</v>
      </c>
      <c r="J280">
        <v>80.88</v>
      </c>
      <c r="K280">
        <v>2582.9299999999998</v>
      </c>
      <c r="L280" t="s">
        <v>15</v>
      </c>
      <c r="M280" t="str">
        <f t="shared" si="5"/>
        <v>2 to 3 years</v>
      </c>
    </row>
    <row r="281" spans="1:13">
      <c r="A281" t="s">
        <v>305</v>
      </c>
      <c r="B281" t="s">
        <v>21</v>
      </c>
      <c r="C281" t="s">
        <v>15</v>
      </c>
      <c r="D281" t="s">
        <v>15</v>
      </c>
      <c r="E281" t="s">
        <v>16</v>
      </c>
      <c r="F281">
        <v>61</v>
      </c>
      <c r="G281" t="s">
        <v>25</v>
      </c>
      <c r="H281" t="s">
        <v>18</v>
      </c>
      <c r="I281" t="s">
        <v>26</v>
      </c>
      <c r="J281">
        <v>60.16</v>
      </c>
      <c r="K281">
        <v>3606.58</v>
      </c>
      <c r="L281" t="s">
        <v>15</v>
      </c>
      <c r="M281" t="str">
        <f t="shared" si="5"/>
        <v>5 to 6 years</v>
      </c>
    </row>
    <row r="282" spans="1:13">
      <c r="A282" t="s">
        <v>306</v>
      </c>
      <c r="B282" t="s">
        <v>21</v>
      </c>
      <c r="C282" t="s">
        <v>15</v>
      </c>
      <c r="D282" t="s">
        <v>15</v>
      </c>
      <c r="E282" t="s">
        <v>16</v>
      </c>
      <c r="F282">
        <v>18</v>
      </c>
      <c r="G282" t="s">
        <v>22</v>
      </c>
      <c r="H282" t="s">
        <v>18</v>
      </c>
      <c r="I282" t="s">
        <v>23</v>
      </c>
      <c r="J282">
        <v>92.55</v>
      </c>
      <c r="K282">
        <v>1602.16</v>
      </c>
      <c r="L282" t="s">
        <v>16</v>
      </c>
      <c r="M282" t="str">
        <f t="shared" si="5"/>
        <v>1 to 2 years</v>
      </c>
    </row>
    <row r="283" spans="1:13">
      <c r="A283" t="s">
        <v>307</v>
      </c>
      <c r="B283" t="s">
        <v>21</v>
      </c>
      <c r="C283" t="s">
        <v>15</v>
      </c>
      <c r="D283" t="s">
        <v>16</v>
      </c>
      <c r="E283" t="s">
        <v>15</v>
      </c>
      <c r="F283">
        <v>66</v>
      </c>
      <c r="G283" t="s">
        <v>22</v>
      </c>
      <c r="H283" t="s">
        <v>18</v>
      </c>
      <c r="I283" t="s">
        <v>26</v>
      </c>
      <c r="J283">
        <v>63.41</v>
      </c>
      <c r="K283">
        <v>4203.26</v>
      </c>
      <c r="L283" t="s">
        <v>15</v>
      </c>
      <c r="M283" t="str">
        <f t="shared" si="5"/>
        <v>5 to 6 years</v>
      </c>
    </row>
    <row r="284" spans="1:13">
      <c r="A284" t="s">
        <v>308</v>
      </c>
      <c r="B284" t="s">
        <v>21</v>
      </c>
      <c r="C284" t="s">
        <v>15</v>
      </c>
      <c r="D284" t="s">
        <v>16</v>
      </c>
      <c r="E284" t="s">
        <v>15</v>
      </c>
      <c r="F284">
        <v>39</v>
      </c>
      <c r="G284" t="s">
        <v>17</v>
      </c>
      <c r="H284" t="s">
        <v>18</v>
      </c>
      <c r="I284" t="s">
        <v>19</v>
      </c>
      <c r="J284">
        <v>81.599999999999994</v>
      </c>
      <c r="K284">
        <v>3232.77</v>
      </c>
      <c r="L284" t="s">
        <v>16</v>
      </c>
      <c r="M284" t="str">
        <f t="shared" si="5"/>
        <v>3 to 4 years</v>
      </c>
    </row>
    <row r="285" spans="1:13">
      <c r="A285" t="s">
        <v>309</v>
      </c>
      <c r="B285" t="s">
        <v>14</v>
      </c>
      <c r="C285" t="s">
        <v>15</v>
      </c>
      <c r="D285" t="s">
        <v>15</v>
      </c>
      <c r="E285" t="s">
        <v>16</v>
      </c>
      <c r="F285">
        <v>46</v>
      </c>
      <c r="G285" t="s">
        <v>22</v>
      </c>
      <c r="H285" t="s">
        <v>34</v>
      </c>
      <c r="I285" t="s">
        <v>26</v>
      </c>
      <c r="J285">
        <v>62.34</v>
      </c>
      <c r="K285">
        <v>2872.73</v>
      </c>
      <c r="L285" t="s">
        <v>15</v>
      </c>
      <c r="M285" t="str">
        <f t="shared" si="5"/>
        <v>3 to 4 years</v>
      </c>
    </row>
    <row r="286" spans="1:13">
      <c r="A286" t="s">
        <v>310</v>
      </c>
      <c r="B286" t="s">
        <v>21</v>
      </c>
      <c r="C286" t="s">
        <v>15</v>
      </c>
      <c r="D286" t="s">
        <v>16</v>
      </c>
      <c r="E286" t="s">
        <v>16</v>
      </c>
      <c r="F286">
        <v>64</v>
      </c>
      <c r="G286" t="s">
        <v>22</v>
      </c>
      <c r="H286" t="s">
        <v>18</v>
      </c>
      <c r="I286" t="s">
        <v>23</v>
      </c>
      <c r="J286">
        <v>102.5</v>
      </c>
      <c r="K286">
        <v>6567.58</v>
      </c>
      <c r="L286" t="s">
        <v>16</v>
      </c>
      <c r="M286" t="str">
        <f t="shared" si="5"/>
        <v>5 to 6 years</v>
      </c>
    </row>
    <row r="287" spans="1:13">
      <c r="A287" t="s">
        <v>311</v>
      </c>
      <c r="B287" t="s">
        <v>14</v>
      </c>
      <c r="C287" t="s">
        <v>15</v>
      </c>
      <c r="D287" t="s">
        <v>15</v>
      </c>
      <c r="E287" t="s">
        <v>16</v>
      </c>
      <c r="F287">
        <v>28</v>
      </c>
      <c r="G287" t="s">
        <v>25</v>
      </c>
      <c r="H287" t="s">
        <v>34</v>
      </c>
      <c r="I287" t="s">
        <v>26</v>
      </c>
      <c r="J287">
        <v>83.51</v>
      </c>
      <c r="K287">
        <v>2298.4</v>
      </c>
      <c r="L287" t="s">
        <v>15</v>
      </c>
      <c r="M287" t="str">
        <f t="shared" si="5"/>
        <v>2 to 3 years</v>
      </c>
    </row>
    <row r="288" spans="1:13">
      <c r="A288" t="s">
        <v>312</v>
      </c>
      <c r="B288" t="s">
        <v>14</v>
      </c>
      <c r="C288" t="s">
        <v>15</v>
      </c>
      <c r="D288" t="s">
        <v>15</v>
      </c>
      <c r="E288" t="s">
        <v>15</v>
      </c>
      <c r="F288">
        <v>49</v>
      </c>
      <c r="G288" t="s">
        <v>25</v>
      </c>
      <c r="H288" t="s">
        <v>18</v>
      </c>
      <c r="I288" t="s">
        <v>36</v>
      </c>
      <c r="J288">
        <v>79.23</v>
      </c>
      <c r="K288">
        <v>3847.7</v>
      </c>
      <c r="L288" t="s">
        <v>16</v>
      </c>
      <c r="M288" t="str">
        <f t="shared" si="5"/>
        <v>4 to 5 years</v>
      </c>
    </row>
    <row r="289" spans="1:13">
      <c r="A289" t="s">
        <v>313</v>
      </c>
      <c r="B289" t="s">
        <v>14</v>
      </c>
      <c r="C289" t="s">
        <v>15</v>
      </c>
      <c r="D289" t="s">
        <v>15</v>
      </c>
      <c r="E289" t="s">
        <v>15</v>
      </c>
      <c r="F289">
        <v>12</v>
      </c>
      <c r="G289" t="s">
        <v>25</v>
      </c>
      <c r="H289" t="s">
        <v>34</v>
      </c>
      <c r="I289" t="s">
        <v>26</v>
      </c>
      <c r="J289">
        <v>52.86</v>
      </c>
      <c r="K289">
        <v>570.91999999999996</v>
      </c>
      <c r="L289" t="s">
        <v>15</v>
      </c>
      <c r="M289" t="str">
        <f t="shared" si="5"/>
        <v>Up to 1 year</v>
      </c>
    </row>
    <row r="290" spans="1:13">
      <c r="A290" t="s">
        <v>314</v>
      </c>
      <c r="B290" t="s">
        <v>14</v>
      </c>
      <c r="C290" t="s">
        <v>15</v>
      </c>
      <c r="D290" t="s">
        <v>15</v>
      </c>
      <c r="E290" t="s">
        <v>15</v>
      </c>
      <c r="F290">
        <v>0</v>
      </c>
      <c r="G290" t="s">
        <v>25</v>
      </c>
      <c r="H290" t="s">
        <v>18</v>
      </c>
      <c r="I290" t="s">
        <v>19</v>
      </c>
      <c r="J290">
        <v>48.28</v>
      </c>
      <c r="K290">
        <v>24.14</v>
      </c>
      <c r="L290" t="s">
        <v>15</v>
      </c>
      <c r="M290" t="str">
        <f t="shared" si="5"/>
        <v>Just signed</v>
      </c>
    </row>
    <row r="291" spans="1:13">
      <c r="A291" t="s">
        <v>315</v>
      </c>
      <c r="B291" t="s">
        <v>21</v>
      </c>
      <c r="C291" t="s">
        <v>15</v>
      </c>
      <c r="D291" t="s">
        <v>15</v>
      </c>
      <c r="E291" t="s">
        <v>16</v>
      </c>
      <c r="F291">
        <v>33</v>
      </c>
      <c r="G291" t="s">
        <v>17</v>
      </c>
      <c r="H291" t="s">
        <v>15</v>
      </c>
      <c r="I291" t="s">
        <v>36</v>
      </c>
      <c r="J291">
        <v>58.39</v>
      </c>
      <c r="K291">
        <v>1974.44</v>
      </c>
      <c r="L291" t="s">
        <v>15</v>
      </c>
      <c r="M291" t="str">
        <f t="shared" si="5"/>
        <v>2 to 3 years</v>
      </c>
    </row>
    <row r="292" spans="1:13">
      <c r="A292" t="s">
        <v>316</v>
      </c>
      <c r="B292" t="s">
        <v>14</v>
      </c>
      <c r="C292" t="s">
        <v>16</v>
      </c>
      <c r="D292" t="s">
        <v>16</v>
      </c>
      <c r="E292" t="s">
        <v>15</v>
      </c>
      <c r="F292">
        <v>47</v>
      </c>
      <c r="G292" t="s">
        <v>25</v>
      </c>
      <c r="H292" t="s">
        <v>15</v>
      </c>
      <c r="I292" t="s">
        <v>23</v>
      </c>
      <c r="J292">
        <v>39.19</v>
      </c>
      <c r="K292">
        <v>1898.44</v>
      </c>
      <c r="L292" t="s">
        <v>15</v>
      </c>
      <c r="M292" t="str">
        <f t="shared" si="5"/>
        <v>3 to 4 years</v>
      </c>
    </row>
    <row r="293" spans="1:13">
      <c r="A293" t="s">
        <v>317</v>
      </c>
      <c r="B293" t="s">
        <v>14</v>
      </c>
      <c r="C293" t="s">
        <v>15</v>
      </c>
      <c r="D293" t="s">
        <v>15</v>
      </c>
      <c r="E293" t="s">
        <v>16</v>
      </c>
      <c r="F293">
        <v>47</v>
      </c>
      <c r="G293" t="s">
        <v>22</v>
      </c>
      <c r="H293" t="s">
        <v>18</v>
      </c>
      <c r="I293" t="s">
        <v>26</v>
      </c>
      <c r="J293">
        <v>33.049999999999997</v>
      </c>
      <c r="K293">
        <v>1451.28</v>
      </c>
      <c r="L293" t="s">
        <v>15</v>
      </c>
      <c r="M293" t="str">
        <f t="shared" si="5"/>
        <v>3 to 4 years</v>
      </c>
    </row>
    <row r="294" spans="1:13">
      <c r="A294" t="s">
        <v>318</v>
      </c>
      <c r="B294" t="s">
        <v>14</v>
      </c>
      <c r="C294" t="s">
        <v>15</v>
      </c>
      <c r="D294" t="s">
        <v>16</v>
      </c>
      <c r="E294" t="s">
        <v>16</v>
      </c>
      <c r="F294">
        <v>48</v>
      </c>
      <c r="G294" t="s">
        <v>17</v>
      </c>
      <c r="H294" t="s">
        <v>34</v>
      </c>
      <c r="I294" t="s">
        <v>36</v>
      </c>
      <c r="J294">
        <v>36.75</v>
      </c>
      <c r="K294">
        <v>1692.29</v>
      </c>
      <c r="L294" t="s">
        <v>15</v>
      </c>
      <c r="M294" t="str">
        <f t="shared" si="5"/>
        <v>3 to 4 years</v>
      </c>
    </row>
    <row r="295" spans="1:13">
      <c r="A295" t="s">
        <v>319</v>
      </c>
      <c r="B295" t="s">
        <v>21</v>
      </c>
      <c r="C295" t="s">
        <v>15</v>
      </c>
      <c r="D295" t="s">
        <v>16</v>
      </c>
      <c r="E295" t="s">
        <v>15</v>
      </c>
      <c r="F295">
        <v>63</v>
      </c>
      <c r="G295" t="s">
        <v>25</v>
      </c>
      <c r="H295" t="s">
        <v>18</v>
      </c>
      <c r="I295" t="s">
        <v>23</v>
      </c>
      <c r="J295">
        <v>120.65</v>
      </c>
      <c r="K295">
        <v>7544.12</v>
      </c>
      <c r="L295" t="s">
        <v>15</v>
      </c>
      <c r="M295" t="str">
        <f t="shared" si="5"/>
        <v>5 to 6 years</v>
      </c>
    </row>
    <row r="296" spans="1:13">
      <c r="A296" t="s">
        <v>320</v>
      </c>
      <c r="B296" t="s">
        <v>21</v>
      </c>
      <c r="C296" t="s">
        <v>16</v>
      </c>
      <c r="D296" t="s">
        <v>15</v>
      </c>
      <c r="E296" t="s">
        <v>16</v>
      </c>
      <c r="F296">
        <v>60</v>
      </c>
      <c r="G296" t="s">
        <v>22</v>
      </c>
      <c r="H296" t="s">
        <v>18</v>
      </c>
      <c r="I296" t="s">
        <v>19</v>
      </c>
      <c r="J296">
        <v>63.5</v>
      </c>
      <c r="K296">
        <v>3804.88</v>
      </c>
      <c r="L296" t="s">
        <v>16</v>
      </c>
      <c r="M296" t="str">
        <f t="shared" si="5"/>
        <v>4 to 5 years</v>
      </c>
    </row>
    <row r="297" spans="1:13">
      <c r="A297" t="s">
        <v>321</v>
      </c>
      <c r="B297" t="s">
        <v>21</v>
      </c>
      <c r="C297" t="s">
        <v>15</v>
      </c>
      <c r="D297" t="s">
        <v>15</v>
      </c>
      <c r="E297" t="s">
        <v>16</v>
      </c>
      <c r="F297">
        <v>28</v>
      </c>
      <c r="G297" t="s">
        <v>22</v>
      </c>
      <c r="H297" t="s">
        <v>34</v>
      </c>
      <c r="I297" t="s">
        <v>23</v>
      </c>
      <c r="J297">
        <v>97.05</v>
      </c>
      <c r="K297">
        <v>2582.75</v>
      </c>
      <c r="L297" t="s">
        <v>15</v>
      </c>
      <c r="M297" t="str">
        <f t="shared" si="5"/>
        <v>2 to 3 years</v>
      </c>
    </row>
    <row r="298" spans="1:13">
      <c r="A298" t="s">
        <v>322</v>
      </c>
      <c r="B298" t="s">
        <v>21</v>
      </c>
      <c r="C298" t="s">
        <v>15</v>
      </c>
      <c r="D298" t="s">
        <v>15</v>
      </c>
      <c r="E298" t="s">
        <v>16</v>
      </c>
      <c r="F298">
        <v>38</v>
      </c>
      <c r="G298" t="s">
        <v>22</v>
      </c>
      <c r="H298" t="s">
        <v>15</v>
      </c>
      <c r="I298" t="s">
        <v>19</v>
      </c>
      <c r="J298">
        <v>46.08</v>
      </c>
      <c r="K298">
        <v>1680.73</v>
      </c>
      <c r="L298" t="s">
        <v>16</v>
      </c>
      <c r="M298" t="str">
        <f t="shared" si="5"/>
        <v>3 to 4 years</v>
      </c>
    </row>
    <row r="299" spans="1:13">
      <c r="A299" t="s">
        <v>323</v>
      </c>
      <c r="B299" t="s">
        <v>14</v>
      </c>
      <c r="C299" t="s">
        <v>15</v>
      </c>
      <c r="D299" t="s">
        <v>15</v>
      </c>
      <c r="E299" t="s">
        <v>16</v>
      </c>
      <c r="F299">
        <v>25</v>
      </c>
      <c r="G299" t="s">
        <v>22</v>
      </c>
      <c r="H299" t="s">
        <v>34</v>
      </c>
      <c r="I299" t="s">
        <v>26</v>
      </c>
      <c r="J299">
        <v>100.99</v>
      </c>
      <c r="K299">
        <v>2413.9</v>
      </c>
      <c r="L299" t="s">
        <v>15</v>
      </c>
      <c r="M299" t="str">
        <f t="shared" si="5"/>
        <v>2 to 3 years</v>
      </c>
    </row>
    <row r="300" spans="1:13">
      <c r="A300" t="s">
        <v>324</v>
      </c>
      <c r="B300" t="s">
        <v>14</v>
      </c>
      <c r="C300" t="s">
        <v>15</v>
      </c>
      <c r="D300" t="s">
        <v>15</v>
      </c>
      <c r="E300" t="s">
        <v>16</v>
      </c>
      <c r="F300">
        <v>16</v>
      </c>
      <c r="G300" t="s">
        <v>22</v>
      </c>
      <c r="H300" t="s">
        <v>15</v>
      </c>
      <c r="I300" t="s">
        <v>23</v>
      </c>
      <c r="J300">
        <v>84.18</v>
      </c>
      <c r="K300">
        <v>1378.92</v>
      </c>
      <c r="L300" t="s">
        <v>16</v>
      </c>
      <c r="M300" t="str">
        <f t="shared" si="5"/>
        <v>1 to 2 years</v>
      </c>
    </row>
    <row r="301" spans="1:13">
      <c r="A301" t="s">
        <v>325</v>
      </c>
      <c r="B301" t="s">
        <v>21</v>
      </c>
      <c r="C301" t="s">
        <v>15</v>
      </c>
      <c r="D301" t="s">
        <v>16</v>
      </c>
      <c r="E301" t="s">
        <v>15</v>
      </c>
      <c r="F301">
        <v>70</v>
      </c>
      <c r="G301" t="s">
        <v>25</v>
      </c>
      <c r="H301" t="s">
        <v>18</v>
      </c>
      <c r="I301" t="s">
        <v>19</v>
      </c>
      <c r="J301">
        <v>59.36</v>
      </c>
      <c r="K301">
        <v>4152.83</v>
      </c>
      <c r="L301" t="s">
        <v>15</v>
      </c>
      <c r="M301" t="str">
        <f t="shared" si="5"/>
        <v>5 to 6 years</v>
      </c>
    </row>
    <row r="302" spans="1:13">
      <c r="A302" t="s">
        <v>326</v>
      </c>
      <c r="B302" t="s">
        <v>14</v>
      </c>
      <c r="C302" t="s">
        <v>15</v>
      </c>
      <c r="D302" t="s">
        <v>15</v>
      </c>
      <c r="E302" t="s">
        <v>15</v>
      </c>
      <c r="F302">
        <v>12</v>
      </c>
      <c r="G302" t="s">
        <v>25</v>
      </c>
      <c r="H302" t="s">
        <v>18</v>
      </c>
      <c r="I302" t="s">
        <v>23</v>
      </c>
      <c r="J302">
        <v>30.3</v>
      </c>
      <c r="K302">
        <v>326.60000000000002</v>
      </c>
      <c r="L302" t="s">
        <v>16</v>
      </c>
      <c r="M302" t="str">
        <f t="shared" si="5"/>
        <v>Up to 1 year</v>
      </c>
    </row>
    <row r="303" spans="1:13">
      <c r="A303" t="s">
        <v>327</v>
      </c>
      <c r="B303" t="s">
        <v>14</v>
      </c>
      <c r="C303" t="s">
        <v>16</v>
      </c>
      <c r="D303" t="s">
        <v>15</v>
      </c>
      <c r="E303" t="s">
        <v>15</v>
      </c>
      <c r="F303">
        <v>68</v>
      </c>
      <c r="G303" t="s">
        <v>22</v>
      </c>
      <c r="H303" t="s">
        <v>34</v>
      </c>
      <c r="I303" t="s">
        <v>19</v>
      </c>
      <c r="J303">
        <v>22.42</v>
      </c>
      <c r="K303">
        <v>1439.5</v>
      </c>
      <c r="L303" t="s">
        <v>15</v>
      </c>
      <c r="M303" t="str">
        <f t="shared" si="5"/>
        <v>5 to 6 years</v>
      </c>
    </row>
    <row r="304" spans="1:13">
      <c r="A304" t="s">
        <v>328</v>
      </c>
      <c r="B304" t="s">
        <v>14</v>
      </c>
      <c r="C304" t="s">
        <v>15</v>
      </c>
      <c r="D304" t="s">
        <v>16</v>
      </c>
      <c r="E304" t="s">
        <v>15</v>
      </c>
      <c r="F304">
        <v>25</v>
      </c>
      <c r="G304" t="s">
        <v>22</v>
      </c>
      <c r="H304" t="s">
        <v>34</v>
      </c>
      <c r="I304" t="s">
        <v>23</v>
      </c>
      <c r="J304">
        <v>49.78</v>
      </c>
      <c r="K304">
        <v>1208.73</v>
      </c>
      <c r="L304" t="s">
        <v>15</v>
      </c>
      <c r="M304" t="str">
        <f t="shared" si="5"/>
        <v>2 to 3 years</v>
      </c>
    </row>
    <row r="305" spans="1:13">
      <c r="A305" t="s">
        <v>329</v>
      </c>
      <c r="B305" t="s">
        <v>21</v>
      </c>
      <c r="C305" t="s">
        <v>15</v>
      </c>
      <c r="D305" t="s">
        <v>16</v>
      </c>
      <c r="E305" t="s">
        <v>16</v>
      </c>
      <c r="F305">
        <v>48</v>
      </c>
      <c r="G305" t="s">
        <v>22</v>
      </c>
      <c r="H305" t="s">
        <v>18</v>
      </c>
      <c r="I305" t="s">
        <v>36</v>
      </c>
      <c r="J305">
        <v>127.24</v>
      </c>
      <c r="K305">
        <v>6062.34</v>
      </c>
      <c r="L305" t="s">
        <v>15</v>
      </c>
      <c r="M305" t="str">
        <f t="shared" si="5"/>
        <v>3 to 4 years</v>
      </c>
    </row>
    <row r="306" spans="1:13">
      <c r="A306" t="s">
        <v>330</v>
      </c>
      <c r="B306" t="s">
        <v>21</v>
      </c>
      <c r="C306" t="s">
        <v>15</v>
      </c>
      <c r="D306" t="s">
        <v>15</v>
      </c>
      <c r="E306" t="s">
        <v>15</v>
      </c>
      <c r="F306">
        <v>66</v>
      </c>
      <c r="G306" t="s">
        <v>25</v>
      </c>
      <c r="H306" t="s">
        <v>34</v>
      </c>
      <c r="I306" t="s">
        <v>23</v>
      </c>
      <c r="J306">
        <v>59.74</v>
      </c>
      <c r="K306">
        <v>4073.61</v>
      </c>
      <c r="L306" t="s">
        <v>15</v>
      </c>
      <c r="M306" t="str">
        <f t="shared" si="5"/>
        <v>5 to 6 years</v>
      </c>
    </row>
    <row r="307" spans="1:13">
      <c r="A307" t="s">
        <v>331</v>
      </c>
      <c r="B307" t="s">
        <v>14</v>
      </c>
      <c r="C307" t="s">
        <v>15</v>
      </c>
      <c r="D307" t="s">
        <v>16</v>
      </c>
      <c r="E307" t="s">
        <v>15</v>
      </c>
      <c r="F307">
        <v>6</v>
      </c>
      <c r="G307" t="s">
        <v>22</v>
      </c>
      <c r="H307" t="s">
        <v>34</v>
      </c>
      <c r="I307" t="s">
        <v>36</v>
      </c>
      <c r="J307">
        <v>73.63</v>
      </c>
      <c r="K307">
        <v>521.54</v>
      </c>
      <c r="L307" t="s">
        <v>15</v>
      </c>
      <c r="M307" t="str">
        <f t="shared" si="5"/>
        <v>Up to 1 year</v>
      </c>
    </row>
    <row r="308" spans="1:13">
      <c r="A308" t="s">
        <v>332</v>
      </c>
      <c r="B308" t="s">
        <v>21</v>
      </c>
      <c r="C308" t="s">
        <v>15</v>
      </c>
      <c r="D308" t="s">
        <v>15</v>
      </c>
      <c r="E308" t="s">
        <v>16</v>
      </c>
      <c r="F308">
        <v>57</v>
      </c>
      <c r="G308" t="s">
        <v>22</v>
      </c>
      <c r="H308" t="s">
        <v>18</v>
      </c>
      <c r="I308" t="s">
        <v>26</v>
      </c>
      <c r="J308">
        <v>112.58</v>
      </c>
      <c r="K308">
        <v>6361.8</v>
      </c>
      <c r="L308" t="s">
        <v>15</v>
      </c>
      <c r="M308" t="str">
        <f t="shared" si="5"/>
        <v>4 to 5 years</v>
      </c>
    </row>
    <row r="309" spans="1:13">
      <c r="A309" t="s">
        <v>333</v>
      </c>
      <c r="B309" t="s">
        <v>21</v>
      </c>
      <c r="C309" t="s">
        <v>15</v>
      </c>
      <c r="D309" t="s">
        <v>16</v>
      </c>
      <c r="E309" t="s">
        <v>15</v>
      </c>
      <c r="F309">
        <v>48</v>
      </c>
      <c r="G309" t="s">
        <v>22</v>
      </c>
      <c r="H309" t="s">
        <v>18</v>
      </c>
      <c r="I309" t="s">
        <v>23</v>
      </c>
      <c r="J309">
        <v>82.76</v>
      </c>
      <c r="K309">
        <v>3985.7</v>
      </c>
      <c r="L309" t="s">
        <v>15</v>
      </c>
      <c r="M309" t="str">
        <f t="shared" si="5"/>
        <v>3 to 4 years</v>
      </c>
    </row>
    <row r="310" spans="1:13">
      <c r="A310" t="s">
        <v>334</v>
      </c>
      <c r="B310" t="s">
        <v>21</v>
      </c>
      <c r="C310" t="s">
        <v>15</v>
      </c>
      <c r="D310" t="s">
        <v>16</v>
      </c>
      <c r="E310" t="s">
        <v>16</v>
      </c>
      <c r="F310">
        <v>52</v>
      </c>
      <c r="G310" t="s">
        <v>22</v>
      </c>
      <c r="H310" t="s">
        <v>18</v>
      </c>
      <c r="I310" t="s">
        <v>26</v>
      </c>
      <c r="J310">
        <v>81.900000000000006</v>
      </c>
      <c r="K310">
        <v>4334.34</v>
      </c>
      <c r="L310" t="s">
        <v>15</v>
      </c>
      <c r="M310" t="str">
        <f t="shared" si="5"/>
        <v>4 to 5 years</v>
      </c>
    </row>
    <row r="311" spans="1:13">
      <c r="A311" t="s">
        <v>335</v>
      </c>
      <c r="B311" t="s">
        <v>21</v>
      </c>
      <c r="C311" t="s">
        <v>16</v>
      </c>
      <c r="D311" t="s">
        <v>15</v>
      </c>
      <c r="E311" t="s">
        <v>15</v>
      </c>
      <c r="F311">
        <v>64</v>
      </c>
      <c r="G311" t="s">
        <v>22</v>
      </c>
      <c r="H311" t="s">
        <v>18</v>
      </c>
      <c r="I311" t="s">
        <v>19</v>
      </c>
      <c r="J311">
        <v>95.57</v>
      </c>
      <c r="K311">
        <v>6061.2</v>
      </c>
      <c r="L311" t="s">
        <v>15</v>
      </c>
      <c r="M311" t="str">
        <f t="shared" si="5"/>
        <v>5 to 6 years</v>
      </c>
    </row>
    <row r="312" spans="1:13">
      <c r="A312" t="s">
        <v>336</v>
      </c>
      <c r="B312" t="s">
        <v>21</v>
      </c>
      <c r="C312" t="s">
        <v>15</v>
      </c>
      <c r="D312" t="s">
        <v>16</v>
      </c>
      <c r="E312" t="s">
        <v>15</v>
      </c>
      <c r="F312">
        <v>61</v>
      </c>
      <c r="G312" t="s">
        <v>25</v>
      </c>
      <c r="H312" t="s">
        <v>34</v>
      </c>
      <c r="I312" t="s">
        <v>19</v>
      </c>
      <c r="J312">
        <v>77.22</v>
      </c>
      <c r="K312">
        <v>4597.05</v>
      </c>
      <c r="L312" t="s">
        <v>15</v>
      </c>
      <c r="M312" t="str">
        <f t="shared" si="5"/>
        <v>5 to 6 years</v>
      </c>
    </row>
    <row r="313" spans="1:13">
      <c r="A313" t="s">
        <v>337</v>
      </c>
      <c r="B313" t="s">
        <v>14</v>
      </c>
      <c r="C313" t="s">
        <v>15</v>
      </c>
      <c r="D313" t="s">
        <v>16</v>
      </c>
      <c r="E313" t="s">
        <v>15</v>
      </c>
      <c r="F313">
        <v>16</v>
      </c>
      <c r="G313" t="s">
        <v>17</v>
      </c>
      <c r="H313" t="s">
        <v>15</v>
      </c>
      <c r="I313" t="s">
        <v>23</v>
      </c>
      <c r="J313">
        <v>52.51</v>
      </c>
      <c r="K313">
        <v>696.41</v>
      </c>
      <c r="L313" t="s">
        <v>15</v>
      </c>
      <c r="M313" t="str">
        <f t="shared" si="5"/>
        <v>1 to 2 years</v>
      </c>
    </row>
    <row r="314" spans="1:13">
      <c r="A314" t="s">
        <v>338</v>
      </c>
      <c r="B314" t="s">
        <v>21</v>
      </c>
      <c r="C314" t="s">
        <v>16</v>
      </c>
      <c r="D314" t="s">
        <v>16</v>
      </c>
      <c r="E314" t="s">
        <v>15</v>
      </c>
      <c r="F314">
        <v>42</v>
      </c>
      <c r="G314" t="s">
        <v>17</v>
      </c>
      <c r="H314" t="s">
        <v>34</v>
      </c>
      <c r="I314" t="s">
        <v>19</v>
      </c>
      <c r="J314">
        <v>51.96</v>
      </c>
      <c r="K314">
        <v>2284.1</v>
      </c>
      <c r="L314" t="s">
        <v>15</v>
      </c>
      <c r="M314" t="str">
        <f t="shared" si="5"/>
        <v>3 to 4 years</v>
      </c>
    </row>
    <row r="315" spans="1:13">
      <c r="A315" t="s">
        <v>339</v>
      </c>
      <c r="B315" t="s">
        <v>14</v>
      </c>
      <c r="C315" t="s">
        <v>15</v>
      </c>
      <c r="D315" t="s">
        <v>16</v>
      </c>
      <c r="E315" t="s">
        <v>15</v>
      </c>
      <c r="F315">
        <v>24</v>
      </c>
      <c r="G315" t="s">
        <v>22</v>
      </c>
      <c r="H315" t="s">
        <v>18</v>
      </c>
      <c r="I315" t="s">
        <v>23</v>
      </c>
      <c r="J315">
        <v>81.96</v>
      </c>
      <c r="K315">
        <v>1951.76</v>
      </c>
      <c r="L315" t="s">
        <v>16</v>
      </c>
      <c r="M315" t="str">
        <f t="shared" si="5"/>
        <v>1 to 2 years</v>
      </c>
    </row>
    <row r="316" spans="1:13">
      <c r="A316" t="s">
        <v>340</v>
      </c>
      <c r="B316" t="s">
        <v>14</v>
      </c>
      <c r="C316" t="s">
        <v>15</v>
      </c>
      <c r="D316" t="s">
        <v>16</v>
      </c>
      <c r="E316" t="s">
        <v>15</v>
      </c>
      <c r="F316">
        <v>2</v>
      </c>
      <c r="G316" t="s">
        <v>17</v>
      </c>
      <c r="H316" t="s">
        <v>18</v>
      </c>
      <c r="I316" t="s">
        <v>23</v>
      </c>
      <c r="J316">
        <v>107.36</v>
      </c>
      <c r="K316">
        <v>238.03</v>
      </c>
      <c r="L316" t="s">
        <v>15</v>
      </c>
      <c r="M316" t="str">
        <f t="shared" si="5"/>
        <v>Up to 1 year</v>
      </c>
    </row>
    <row r="317" spans="1:13">
      <c r="A317" t="s">
        <v>341</v>
      </c>
      <c r="B317" t="s">
        <v>21</v>
      </c>
      <c r="C317" t="s">
        <v>15</v>
      </c>
      <c r="D317" t="s">
        <v>16</v>
      </c>
      <c r="E317" t="s">
        <v>16</v>
      </c>
      <c r="F317">
        <v>28</v>
      </c>
      <c r="G317" t="s">
        <v>17</v>
      </c>
      <c r="H317" t="s">
        <v>18</v>
      </c>
      <c r="I317" t="s">
        <v>19</v>
      </c>
      <c r="J317">
        <v>124.55</v>
      </c>
      <c r="K317">
        <v>3441.46</v>
      </c>
      <c r="L317" t="s">
        <v>15</v>
      </c>
      <c r="M317" t="str">
        <f t="shared" si="5"/>
        <v>2 to 3 years</v>
      </c>
    </row>
    <row r="318" spans="1:13">
      <c r="A318" t="s">
        <v>342</v>
      </c>
      <c r="B318" t="s">
        <v>14</v>
      </c>
      <c r="C318" t="s">
        <v>15</v>
      </c>
      <c r="D318" t="s">
        <v>15</v>
      </c>
      <c r="E318" t="s">
        <v>16</v>
      </c>
      <c r="F318">
        <v>31</v>
      </c>
      <c r="G318" t="s">
        <v>22</v>
      </c>
      <c r="H318" t="s">
        <v>34</v>
      </c>
      <c r="I318" t="s">
        <v>23</v>
      </c>
      <c r="J318">
        <v>77.31</v>
      </c>
      <c r="K318">
        <v>2295.1799999999998</v>
      </c>
      <c r="L318" t="s">
        <v>15</v>
      </c>
      <c r="M318" t="str">
        <f t="shared" si="5"/>
        <v>2 to 3 years</v>
      </c>
    </row>
    <row r="319" spans="1:13">
      <c r="A319" t="s">
        <v>343</v>
      </c>
      <c r="B319" t="s">
        <v>14</v>
      </c>
      <c r="C319" t="s">
        <v>15</v>
      </c>
      <c r="D319" t="s">
        <v>15</v>
      </c>
      <c r="E319" t="s">
        <v>15</v>
      </c>
      <c r="F319">
        <v>25</v>
      </c>
      <c r="G319" t="s">
        <v>17</v>
      </c>
      <c r="H319" t="s">
        <v>18</v>
      </c>
      <c r="I319" t="s">
        <v>23</v>
      </c>
      <c r="J319">
        <v>98.88</v>
      </c>
      <c r="K319">
        <v>2385.5</v>
      </c>
      <c r="L319" t="s">
        <v>15</v>
      </c>
      <c r="M319" t="str">
        <f t="shared" si="5"/>
        <v>2 to 3 years</v>
      </c>
    </row>
    <row r="320" spans="1:13">
      <c r="A320" t="s">
        <v>344</v>
      </c>
      <c r="B320" t="s">
        <v>14</v>
      </c>
      <c r="C320" t="s">
        <v>16</v>
      </c>
      <c r="D320" t="s">
        <v>16</v>
      </c>
      <c r="E320" t="s">
        <v>15</v>
      </c>
      <c r="F320">
        <v>15</v>
      </c>
      <c r="G320" t="s">
        <v>22</v>
      </c>
      <c r="H320" t="s">
        <v>18</v>
      </c>
      <c r="I320" t="s">
        <v>23</v>
      </c>
      <c r="J320">
        <v>86.74</v>
      </c>
      <c r="K320">
        <v>1193.82</v>
      </c>
      <c r="L320" t="s">
        <v>15</v>
      </c>
      <c r="M320" t="str">
        <f t="shared" si="5"/>
        <v>1 to 2 years</v>
      </c>
    </row>
    <row r="321" spans="1:13">
      <c r="A321" t="s">
        <v>345</v>
      </c>
      <c r="B321" t="s">
        <v>21</v>
      </c>
      <c r="C321" t="s">
        <v>15</v>
      </c>
      <c r="D321" t="s">
        <v>15</v>
      </c>
      <c r="E321" t="s">
        <v>15</v>
      </c>
      <c r="F321">
        <v>24</v>
      </c>
      <c r="G321" t="s">
        <v>25</v>
      </c>
      <c r="H321" t="s">
        <v>34</v>
      </c>
      <c r="I321" t="s">
        <v>23</v>
      </c>
      <c r="J321">
        <v>67.819999999999993</v>
      </c>
      <c r="K321">
        <v>1695.68</v>
      </c>
      <c r="L321" t="s">
        <v>15</v>
      </c>
      <c r="M321" t="str">
        <f t="shared" si="5"/>
        <v>1 to 2 years</v>
      </c>
    </row>
    <row r="322" spans="1:13">
      <c r="A322" t="s">
        <v>346</v>
      </c>
      <c r="B322" t="s">
        <v>21</v>
      </c>
      <c r="C322" t="s">
        <v>15</v>
      </c>
      <c r="D322" t="s">
        <v>15</v>
      </c>
      <c r="E322" t="s">
        <v>15</v>
      </c>
      <c r="F322">
        <v>53</v>
      </c>
      <c r="G322" t="s">
        <v>22</v>
      </c>
      <c r="H322" t="s">
        <v>18</v>
      </c>
      <c r="I322" t="s">
        <v>23</v>
      </c>
      <c r="J322">
        <v>92.86</v>
      </c>
      <c r="K322">
        <v>5040.9799999999996</v>
      </c>
      <c r="L322" t="s">
        <v>16</v>
      </c>
      <c r="M322" t="str">
        <f t="shared" si="5"/>
        <v>4 to 5 years</v>
      </c>
    </row>
    <row r="323" spans="1:13">
      <c r="A323" t="s">
        <v>347</v>
      </c>
      <c r="B323" t="s">
        <v>14</v>
      </c>
      <c r="C323" t="s">
        <v>16</v>
      </c>
      <c r="D323" t="s">
        <v>15</v>
      </c>
      <c r="E323" t="s">
        <v>15</v>
      </c>
      <c r="F323">
        <v>27</v>
      </c>
      <c r="G323" t="s">
        <v>25</v>
      </c>
      <c r="H323" t="s">
        <v>15</v>
      </c>
      <c r="I323" t="s">
        <v>36</v>
      </c>
      <c r="J323">
        <v>84.73</v>
      </c>
      <c r="K323">
        <v>2290.69</v>
      </c>
      <c r="L323" t="s">
        <v>15</v>
      </c>
      <c r="M323" t="str">
        <f t="shared" ref="M323:M386" si="6">IF(F323=0,"Just signed",IF(F323&lt;=12,"Up to 1 year",IF(F323&lt;=24,"1 to 2 years",IF(F323&lt;=36,"2 to 3 years",IF(F323&lt;=48,"3 to 4 years",IF(F323&lt;=60,"4 to 5 years","5 to 6 years"))))))</f>
        <v>2 to 3 years</v>
      </c>
    </row>
    <row r="324" spans="1:13">
      <c r="A324" t="s">
        <v>348</v>
      </c>
      <c r="B324" t="s">
        <v>21</v>
      </c>
      <c r="C324" t="s">
        <v>15</v>
      </c>
      <c r="D324" t="s">
        <v>16</v>
      </c>
      <c r="E324" t="s">
        <v>15</v>
      </c>
      <c r="F324">
        <v>72</v>
      </c>
      <c r="G324" t="s">
        <v>22</v>
      </c>
      <c r="H324" t="s">
        <v>15</v>
      </c>
      <c r="I324" t="s">
        <v>23</v>
      </c>
      <c r="J324">
        <v>32.840000000000003</v>
      </c>
      <c r="K324">
        <v>2243.06</v>
      </c>
      <c r="L324" t="s">
        <v>15</v>
      </c>
      <c r="M324" t="str">
        <f t="shared" si="6"/>
        <v>5 to 6 years</v>
      </c>
    </row>
    <row r="325" spans="1:13">
      <c r="A325" t="s">
        <v>349</v>
      </c>
      <c r="B325" t="s">
        <v>21</v>
      </c>
      <c r="C325" t="s">
        <v>15</v>
      </c>
      <c r="D325" t="s">
        <v>15</v>
      </c>
      <c r="E325" t="s">
        <v>15</v>
      </c>
      <c r="F325">
        <v>55</v>
      </c>
      <c r="G325" t="s">
        <v>17</v>
      </c>
      <c r="H325" t="s">
        <v>34</v>
      </c>
      <c r="I325" t="s">
        <v>26</v>
      </c>
      <c r="J325">
        <v>33.72</v>
      </c>
      <c r="K325">
        <v>1894.33</v>
      </c>
      <c r="L325" t="s">
        <v>15</v>
      </c>
      <c r="M325" t="str">
        <f t="shared" si="6"/>
        <v>4 to 5 years</v>
      </c>
    </row>
    <row r="326" spans="1:13">
      <c r="A326" t="s">
        <v>350</v>
      </c>
      <c r="B326" t="s">
        <v>21</v>
      </c>
      <c r="C326" t="s">
        <v>15</v>
      </c>
      <c r="D326" t="s">
        <v>16</v>
      </c>
      <c r="E326" t="s">
        <v>15</v>
      </c>
      <c r="F326">
        <v>64</v>
      </c>
      <c r="G326" t="s">
        <v>17</v>
      </c>
      <c r="H326" t="s">
        <v>34</v>
      </c>
      <c r="I326" t="s">
        <v>23</v>
      </c>
      <c r="J326">
        <v>56.67</v>
      </c>
      <c r="K326">
        <v>3728.08</v>
      </c>
      <c r="L326" t="s">
        <v>15</v>
      </c>
      <c r="M326" t="str">
        <f t="shared" si="6"/>
        <v>5 to 6 years</v>
      </c>
    </row>
    <row r="327" spans="1:13">
      <c r="A327" t="s">
        <v>351</v>
      </c>
      <c r="B327" t="s">
        <v>21</v>
      </c>
      <c r="C327" t="s">
        <v>15</v>
      </c>
      <c r="D327" t="s">
        <v>15</v>
      </c>
      <c r="E327" t="s">
        <v>15</v>
      </c>
      <c r="F327">
        <v>40</v>
      </c>
      <c r="G327" t="s">
        <v>17</v>
      </c>
      <c r="H327" t="s">
        <v>34</v>
      </c>
      <c r="I327" t="s">
        <v>36</v>
      </c>
      <c r="J327">
        <v>75.290000000000006</v>
      </c>
      <c r="K327">
        <v>3089.33</v>
      </c>
      <c r="L327" t="s">
        <v>16</v>
      </c>
      <c r="M327" t="str">
        <f t="shared" si="6"/>
        <v>3 to 4 years</v>
      </c>
    </row>
    <row r="328" spans="1:13">
      <c r="A328" t="s">
        <v>352</v>
      </c>
      <c r="B328" t="s">
        <v>14</v>
      </c>
      <c r="C328" t="s">
        <v>15</v>
      </c>
      <c r="D328" t="s">
        <v>16</v>
      </c>
      <c r="E328" t="s">
        <v>15</v>
      </c>
      <c r="F328">
        <v>50</v>
      </c>
      <c r="G328" t="s">
        <v>22</v>
      </c>
      <c r="H328" t="s">
        <v>18</v>
      </c>
      <c r="I328" t="s">
        <v>23</v>
      </c>
      <c r="J328">
        <v>101.75</v>
      </c>
      <c r="K328">
        <v>5085.17</v>
      </c>
      <c r="L328" t="s">
        <v>16</v>
      </c>
      <c r="M328" t="str">
        <f t="shared" si="6"/>
        <v>4 to 5 years</v>
      </c>
    </row>
    <row r="329" spans="1:13">
      <c r="A329" t="s">
        <v>353</v>
      </c>
      <c r="B329" t="s">
        <v>14</v>
      </c>
      <c r="C329" t="s">
        <v>15</v>
      </c>
      <c r="D329" t="s">
        <v>16</v>
      </c>
      <c r="E329" t="s">
        <v>16</v>
      </c>
      <c r="F329">
        <v>70</v>
      </c>
      <c r="G329" t="s">
        <v>22</v>
      </c>
      <c r="H329" t="s">
        <v>34</v>
      </c>
      <c r="I329" t="s">
        <v>36</v>
      </c>
      <c r="J329">
        <v>45.26</v>
      </c>
      <c r="K329">
        <v>3149.44</v>
      </c>
      <c r="L329" t="s">
        <v>15</v>
      </c>
      <c r="M329" t="str">
        <f t="shared" si="6"/>
        <v>5 to 6 years</v>
      </c>
    </row>
    <row r="330" spans="1:13">
      <c r="A330" t="s">
        <v>354</v>
      </c>
      <c r="B330" t="s">
        <v>21</v>
      </c>
      <c r="C330" t="s">
        <v>15</v>
      </c>
      <c r="D330" t="s">
        <v>15</v>
      </c>
      <c r="E330" t="s">
        <v>15</v>
      </c>
      <c r="F330">
        <v>28</v>
      </c>
      <c r="G330" t="s">
        <v>17</v>
      </c>
      <c r="H330" t="s">
        <v>34</v>
      </c>
      <c r="I330" t="s">
        <v>26</v>
      </c>
      <c r="J330">
        <v>20</v>
      </c>
      <c r="K330">
        <v>557.03</v>
      </c>
      <c r="L330" t="s">
        <v>15</v>
      </c>
      <c r="M330" t="str">
        <f t="shared" si="6"/>
        <v>2 to 3 years</v>
      </c>
    </row>
    <row r="331" spans="1:13">
      <c r="A331" t="s">
        <v>355</v>
      </c>
      <c r="B331" t="s">
        <v>21</v>
      </c>
      <c r="C331" t="s">
        <v>15</v>
      </c>
      <c r="D331" t="s">
        <v>15</v>
      </c>
      <c r="E331" t="s">
        <v>16</v>
      </c>
      <c r="F331">
        <v>18</v>
      </c>
      <c r="G331" t="s">
        <v>22</v>
      </c>
      <c r="H331" t="s">
        <v>15</v>
      </c>
      <c r="I331" t="s">
        <v>23</v>
      </c>
      <c r="J331">
        <v>42.26</v>
      </c>
      <c r="K331">
        <v>858.7</v>
      </c>
      <c r="L331" t="s">
        <v>15</v>
      </c>
      <c r="M331" t="str">
        <f t="shared" si="6"/>
        <v>1 to 2 years</v>
      </c>
    </row>
    <row r="332" spans="1:13">
      <c r="A332" t="s">
        <v>356</v>
      </c>
      <c r="B332" t="s">
        <v>14</v>
      </c>
      <c r="C332" t="s">
        <v>15</v>
      </c>
      <c r="D332" t="s">
        <v>16</v>
      </c>
      <c r="E332" t="s">
        <v>16</v>
      </c>
      <c r="F332">
        <v>65</v>
      </c>
      <c r="G332" t="s">
        <v>22</v>
      </c>
      <c r="H332" t="s">
        <v>15</v>
      </c>
      <c r="I332" t="s">
        <v>36</v>
      </c>
      <c r="J332">
        <v>50.15</v>
      </c>
      <c r="K332">
        <v>3320.58</v>
      </c>
      <c r="L332" t="s">
        <v>15</v>
      </c>
      <c r="M332" t="str">
        <f t="shared" si="6"/>
        <v>5 to 6 years</v>
      </c>
    </row>
    <row r="333" spans="1:13">
      <c r="A333" t="s">
        <v>357</v>
      </c>
      <c r="B333" t="s">
        <v>14</v>
      </c>
      <c r="C333" t="s">
        <v>15</v>
      </c>
      <c r="D333" t="s">
        <v>15</v>
      </c>
      <c r="E333" t="s">
        <v>16</v>
      </c>
      <c r="F333">
        <v>40</v>
      </c>
      <c r="G333" t="s">
        <v>17</v>
      </c>
      <c r="H333" t="s">
        <v>34</v>
      </c>
      <c r="I333" t="s">
        <v>19</v>
      </c>
      <c r="J333">
        <v>40.94</v>
      </c>
      <c r="K333">
        <v>1606.74</v>
      </c>
      <c r="L333" t="s">
        <v>15</v>
      </c>
      <c r="M333" t="str">
        <f t="shared" si="6"/>
        <v>3 to 4 years</v>
      </c>
    </row>
    <row r="334" spans="1:13">
      <c r="A334" t="s">
        <v>358</v>
      </c>
      <c r="B334" t="s">
        <v>21</v>
      </c>
      <c r="C334" t="s">
        <v>16</v>
      </c>
      <c r="D334" t="s">
        <v>15</v>
      </c>
      <c r="E334" t="s">
        <v>15</v>
      </c>
      <c r="F334">
        <v>44</v>
      </c>
      <c r="G334" t="s">
        <v>22</v>
      </c>
      <c r="H334" t="s">
        <v>34</v>
      </c>
      <c r="I334" t="s">
        <v>23</v>
      </c>
      <c r="J334">
        <v>51.1</v>
      </c>
      <c r="K334">
        <v>2215.5300000000002</v>
      </c>
      <c r="L334" t="s">
        <v>15</v>
      </c>
      <c r="M334" t="str">
        <f t="shared" si="6"/>
        <v>3 to 4 years</v>
      </c>
    </row>
    <row r="335" spans="1:13">
      <c r="A335" t="s">
        <v>359</v>
      </c>
      <c r="B335" t="s">
        <v>14</v>
      </c>
      <c r="C335" t="s">
        <v>15</v>
      </c>
      <c r="D335" t="s">
        <v>15</v>
      </c>
      <c r="E335" t="s">
        <v>15</v>
      </c>
      <c r="F335">
        <v>14</v>
      </c>
      <c r="G335" t="s">
        <v>22</v>
      </c>
      <c r="H335" t="s">
        <v>18</v>
      </c>
      <c r="I335" t="s">
        <v>26</v>
      </c>
      <c r="J335">
        <v>101.68</v>
      </c>
      <c r="K335">
        <v>1384.98</v>
      </c>
      <c r="L335" t="s">
        <v>16</v>
      </c>
      <c r="M335" t="str">
        <f t="shared" si="6"/>
        <v>1 to 2 years</v>
      </c>
    </row>
    <row r="336" spans="1:13">
      <c r="A336" t="s">
        <v>360</v>
      </c>
      <c r="B336" t="s">
        <v>21</v>
      </c>
      <c r="C336" t="s">
        <v>15</v>
      </c>
      <c r="D336" t="s">
        <v>16</v>
      </c>
      <c r="E336" t="s">
        <v>16</v>
      </c>
      <c r="F336">
        <v>2</v>
      </c>
      <c r="G336" t="s">
        <v>22</v>
      </c>
      <c r="H336" t="s">
        <v>34</v>
      </c>
      <c r="I336" t="s">
        <v>36</v>
      </c>
      <c r="J336">
        <v>71.95</v>
      </c>
      <c r="K336">
        <v>58.73</v>
      </c>
      <c r="L336" t="s">
        <v>15</v>
      </c>
      <c r="M336" t="str">
        <f t="shared" si="6"/>
        <v>Up to 1 year</v>
      </c>
    </row>
    <row r="337" spans="1:13">
      <c r="A337" t="s">
        <v>361</v>
      </c>
      <c r="B337" t="s">
        <v>21</v>
      </c>
      <c r="C337" t="s">
        <v>15</v>
      </c>
      <c r="D337" t="s">
        <v>16</v>
      </c>
      <c r="E337" t="s">
        <v>15</v>
      </c>
      <c r="F337">
        <v>10</v>
      </c>
      <c r="G337" t="s">
        <v>22</v>
      </c>
      <c r="H337" t="s">
        <v>18</v>
      </c>
      <c r="I337" t="s">
        <v>19</v>
      </c>
      <c r="J337">
        <v>88.64</v>
      </c>
      <c r="K337">
        <v>994.55</v>
      </c>
      <c r="L337" t="s">
        <v>15</v>
      </c>
      <c r="M337" t="str">
        <f t="shared" si="6"/>
        <v>Up to 1 year</v>
      </c>
    </row>
    <row r="338" spans="1:13">
      <c r="A338" t="s">
        <v>362</v>
      </c>
      <c r="B338" t="s">
        <v>14</v>
      </c>
      <c r="C338" t="s">
        <v>15</v>
      </c>
      <c r="D338" t="s">
        <v>15</v>
      </c>
      <c r="E338" t="s">
        <v>15</v>
      </c>
      <c r="F338">
        <v>52</v>
      </c>
      <c r="G338" t="s">
        <v>17</v>
      </c>
      <c r="H338" t="s">
        <v>18</v>
      </c>
      <c r="I338" t="s">
        <v>23</v>
      </c>
      <c r="J338">
        <v>71.11</v>
      </c>
      <c r="K338">
        <v>3634.69</v>
      </c>
      <c r="L338" t="s">
        <v>16</v>
      </c>
      <c r="M338" t="str">
        <f t="shared" si="6"/>
        <v>4 to 5 years</v>
      </c>
    </row>
    <row r="339" spans="1:13">
      <c r="A339" t="s">
        <v>363</v>
      </c>
      <c r="B339" t="s">
        <v>14</v>
      </c>
      <c r="C339" t="s">
        <v>15</v>
      </c>
      <c r="D339" t="s">
        <v>15</v>
      </c>
      <c r="E339" t="s">
        <v>15</v>
      </c>
      <c r="F339">
        <v>45</v>
      </c>
      <c r="G339" t="s">
        <v>17</v>
      </c>
      <c r="H339" t="s">
        <v>15</v>
      </c>
      <c r="I339" t="s">
        <v>26</v>
      </c>
      <c r="J339">
        <v>36.15</v>
      </c>
      <c r="K339">
        <v>1665.97</v>
      </c>
      <c r="L339" t="s">
        <v>15</v>
      </c>
      <c r="M339" t="str">
        <f t="shared" si="6"/>
        <v>3 to 4 years</v>
      </c>
    </row>
    <row r="340" spans="1:13">
      <c r="A340" t="s">
        <v>364</v>
      </c>
      <c r="B340" t="s">
        <v>21</v>
      </c>
      <c r="C340" t="s">
        <v>15</v>
      </c>
      <c r="D340" t="s">
        <v>15</v>
      </c>
      <c r="E340" t="s">
        <v>16</v>
      </c>
      <c r="F340">
        <v>29</v>
      </c>
      <c r="G340" t="s">
        <v>25</v>
      </c>
      <c r="H340" t="s">
        <v>18</v>
      </c>
      <c r="I340" t="s">
        <v>26</v>
      </c>
      <c r="J340">
        <v>70.930000000000007</v>
      </c>
      <c r="K340">
        <v>2004.06</v>
      </c>
      <c r="L340" t="s">
        <v>15</v>
      </c>
      <c r="M340" t="str">
        <f t="shared" si="6"/>
        <v>2 to 3 years</v>
      </c>
    </row>
    <row r="341" spans="1:13">
      <c r="A341" t="s">
        <v>365</v>
      </c>
      <c r="B341" t="s">
        <v>21</v>
      </c>
      <c r="C341" t="s">
        <v>15</v>
      </c>
      <c r="D341" t="s">
        <v>16</v>
      </c>
      <c r="E341" t="s">
        <v>15</v>
      </c>
      <c r="F341">
        <v>56</v>
      </c>
      <c r="G341" t="s">
        <v>25</v>
      </c>
      <c r="H341" t="s">
        <v>18</v>
      </c>
      <c r="I341" t="s">
        <v>36</v>
      </c>
      <c r="J341">
        <v>92.47</v>
      </c>
      <c r="K341">
        <v>5140.1400000000003</v>
      </c>
      <c r="L341" t="s">
        <v>16</v>
      </c>
      <c r="M341" t="str">
        <f t="shared" si="6"/>
        <v>4 to 5 years</v>
      </c>
    </row>
    <row r="342" spans="1:13">
      <c r="A342" t="s">
        <v>366</v>
      </c>
      <c r="B342" t="s">
        <v>14</v>
      </c>
      <c r="C342" t="s">
        <v>16</v>
      </c>
      <c r="D342" t="s">
        <v>16</v>
      </c>
      <c r="E342" t="s">
        <v>15</v>
      </c>
      <c r="F342">
        <v>17</v>
      </c>
      <c r="G342" t="s">
        <v>22</v>
      </c>
      <c r="H342" t="s">
        <v>18</v>
      </c>
      <c r="I342" t="s">
        <v>26</v>
      </c>
      <c r="J342">
        <v>42.72</v>
      </c>
      <c r="K342">
        <v>717.13</v>
      </c>
      <c r="L342" t="s">
        <v>16</v>
      </c>
      <c r="M342" t="str">
        <f t="shared" si="6"/>
        <v>1 to 2 years</v>
      </c>
    </row>
    <row r="343" spans="1:13">
      <c r="A343" t="s">
        <v>367</v>
      </c>
      <c r="B343" t="s">
        <v>21</v>
      </c>
      <c r="C343" t="s">
        <v>15</v>
      </c>
      <c r="D343" t="s">
        <v>15</v>
      </c>
      <c r="E343" t="s">
        <v>16</v>
      </c>
      <c r="F343">
        <v>50</v>
      </c>
      <c r="G343" t="s">
        <v>22</v>
      </c>
      <c r="H343" t="s">
        <v>34</v>
      </c>
      <c r="I343" t="s">
        <v>23</v>
      </c>
      <c r="J343">
        <v>111.25</v>
      </c>
      <c r="K343">
        <v>5606.12</v>
      </c>
      <c r="L343" t="s">
        <v>15</v>
      </c>
      <c r="M343" t="str">
        <f t="shared" si="6"/>
        <v>4 to 5 years</v>
      </c>
    </row>
    <row r="344" spans="1:13">
      <c r="A344" t="s">
        <v>368</v>
      </c>
      <c r="B344" t="s">
        <v>14</v>
      </c>
      <c r="C344" t="s">
        <v>15</v>
      </c>
      <c r="D344" t="s">
        <v>15</v>
      </c>
      <c r="E344" t="s">
        <v>16</v>
      </c>
      <c r="F344">
        <v>47</v>
      </c>
      <c r="G344" t="s">
        <v>22</v>
      </c>
      <c r="H344" t="s">
        <v>18</v>
      </c>
      <c r="I344" t="s">
        <v>36</v>
      </c>
      <c r="J344">
        <v>94.37</v>
      </c>
      <c r="K344">
        <v>4414.6499999999996</v>
      </c>
      <c r="L344" t="s">
        <v>16</v>
      </c>
      <c r="M344" t="str">
        <f t="shared" si="6"/>
        <v>3 to 4 years</v>
      </c>
    </row>
    <row r="345" spans="1:13">
      <c r="A345" t="s">
        <v>369</v>
      </c>
      <c r="B345" t="s">
        <v>21</v>
      </c>
      <c r="C345" t="s">
        <v>15</v>
      </c>
      <c r="D345" t="s">
        <v>15</v>
      </c>
      <c r="E345" t="s">
        <v>15</v>
      </c>
      <c r="F345">
        <v>65</v>
      </c>
      <c r="G345" t="s">
        <v>22</v>
      </c>
      <c r="H345" t="s">
        <v>18</v>
      </c>
      <c r="I345" t="s">
        <v>23</v>
      </c>
      <c r="J345">
        <v>66.599999999999994</v>
      </c>
      <c r="K345">
        <v>4237.8599999999997</v>
      </c>
      <c r="L345" t="s">
        <v>15</v>
      </c>
      <c r="M345" t="str">
        <f t="shared" si="6"/>
        <v>5 to 6 years</v>
      </c>
    </row>
    <row r="346" spans="1:13">
      <c r="A346" t="s">
        <v>370</v>
      </c>
      <c r="B346" t="s">
        <v>14</v>
      </c>
      <c r="C346" t="s">
        <v>16</v>
      </c>
      <c r="D346" t="s">
        <v>15</v>
      </c>
      <c r="E346" t="s">
        <v>15</v>
      </c>
      <c r="F346">
        <v>7</v>
      </c>
      <c r="G346" t="s">
        <v>25</v>
      </c>
      <c r="H346" t="s">
        <v>34</v>
      </c>
      <c r="I346" t="s">
        <v>23</v>
      </c>
      <c r="J346">
        <v>90.34</v>
      </c>
      <c r="K346">
        <v>633.91</v>
      </c>
      <c r="L346" t="s">
        <v>16</v>
      </c>
      <c r="M346" t="str">
        <f t="shared" si="6"/>
        <v>Up to 1 year</v>
      </c>
    </row>
    <row r="347" spans="1:13">
      <c r="A347" t="s">
        <v>371</v>
      </c>
      <c r="B347" t="s">
        <v>14</v>
      </c>
      <c r="C347" t="s">
        <v>15</v>
      </c>
      <c r="D347" t="s">
        <v>15</v>
      </c>
      <c r="E347" t="s">
        <v>15</v>
      </c>
      <c r="F347">
        <v>21</v>
      </c>
      <c r="G347" t="s">
        <v>22</v>
      </c>
      <c r="H347" t="s">
        <v>34</v>
      </c>
      <c r="I347" t="s">
        <v>19</v>
      </c>
      <c r="J347">
        <v>100.56</v>
      </c>
      <c r="K347">
        <v>2050.4299999999998</v>
      </c>
      <c r="L347" t="s">
        <v>15</v>
      </c>
      <c r="M347" t="str">
        <f t="shared" si="6"/>
        <v>1 to 2 years</v>
      </c>
    </row>
    <row r="348" spans="1:13">
      <c r="A348" t="s">
        <v>372</v>
      </c>
      <c r="B348" t="s">
        <v>14</v>
      </c>
      <c r="C348" t="s">
        <v>16</v>
      </c>
      <c r="D348" t="s">
        <v>15</v>
      </c>
      <c r="E348" t="s">
        <v>15</v>
      </c>
      <c r="F348">
        <v>5</v>
      </c>
      <c r="G348" t="s">
        <v>22</v>
      </c>
      <c r="H348" t="s">
        <v>34</v>
      </c>
      <c r="I348" t="s">
        <v>19</v>
      </c>
      <c r="J348">
        <v>61.74</v>
      </c>
      <c r="K348">
        <v>432.21</v>
      </c>
      <c r="L348" t="s">
        <v>15</v>
      </c>
      <c r="M348" t="str">
        <f t="shared" si="6"/>
        <v>Up to 1 year</v>
      </c>
    </row>
    <row r="349" spans="1:13">
      <c r="A349" t="s">
        <v>373</v>
      </c>
      <c r="B349" t="s">
        <v>21</v>
      </c>
      <c r="C349" t="s">
        <v>15</v>
      </c>
      <c r="D349" t="s">
        <v>16</v>
      </c>
      <c r="E349" t="s">
        <v>15</v>
      </c>
      <c r="F349">
        <v>56</v>
      </c>
      <c r="G349" t="s">
        <v>22</v>
      </c>
      <c r="H349" t="s">
        <v>15</v>
      </c>
      <c r="I349" t="s">
        <v>23</v>
      </c>
      <c r="J349">
        <v>49.59</v>
      </c>
      <c r="K349">
        <v>2756.24</v>
      </c>
      <c r="L349" t="s">
        <v>15</v>
      </c>
      <c r="M349" t="str">
        <f t="shared" si="6"/>
        <v>4 to 5 years</v>
      </c>
    </row>
    <row r="350" spans="1:13">
      <c r="A350" t="s">
        <v>374</v>
      </c>
      <c r="B350" t="s">
        <v>21</v>
      </c>
      <c r="C350" t="s">
        <v>15</v>
      </c>
      <c r="D350" t="s">
        <v>15</v>
      </c>
      <c r="E350" t="s">
        <v>15</v>
      </c>
      <c r="F350">
        <v>35</v>
      </c>
      <c r="G350" t="s">
        <v>17</v>
      </c>
      <c r="H350" t="s">
        <v>34</v>
      </c>
      <c r="I350" t="s">
        <v>26</v>
      </c>
      <c r="J350">
        <v>107.34</v>
      </c>
      <c r="K350">
        <v>3703.46</v>
      </c>
      <c r="L350" t="s">
        <v>15</v>
      </c>
      <c r="M350" t="str">
        <f t="shared" si="6"/>
        <v>2 to 3 years</v>
      </c>
    </row>
    <row r="351" spans="1:13">
      <c r="A351" t="s">
        <v>375</v>
      </c>
      <c r="B351" t="s">
        <v>14</v>
      </c>
      <c r="C351" t="s">
        <v>15</v>
      </c>
      <c r="D351" t="s">
        <v>16</v>
      </c>
      <c r="E351" t="s">
        <v>16</v>
      </c>
      <c r="F351">
        <v>56</v>
      </c>
      <c r="G351" t="s">
        <v>17</v>
      </c>
      <c r="H351" t="s">
        <v>34</v>
      </c>
      <c r="I351" t="s">
        <v>19</v>
      </c>
      <c r="J351">
        <v>122.97</v>
      </c>
      <c r="K351">
        <v>7044.3</v>
      </c>
      <c r="L351" t="s">
        <v>15</v>
      </c>
      <c r="M351" t="str">
        <f t="shared" si="6"/>
        <v>4 to 5 years</v>
      </c>
    </row>
    <row r="352" spans="1:13">
      <c r="A352" t="s">
        <v>376</v>
      </c>
      <c r="B352" t="s">
        <v>21</v>
      </c>
      <c r="C352" t="s">
        <v>16</v>
      </c>
      <c r="D352" t="s">
        <v>15</v>
      </c>
      <c r="E352" t="s">
        <v>15</v>
      </c>
      <c r="F352">
        <v>48</v>
      </c>
      <c r="G352" t="s">
        <v>22</v>
      </c>
      <c r="H352" t="s">
        <v>18</v>
      </c>
      <c r="I352" t="s">
        <v>19</v>
      </c>
      <c r="J352">
        <v>80.739999999999995</v>
      </c>
      <c r="K352">
        <v>3934.63</v>
      </c>
      <c r="L352" t="s">
        <v>15</v>
      </c>
      <c r="M352" t="str">
        <f t="shared" si="6"/>
        <v>3 to 4 years</v>
      </c>
    </row>
    <row r="353" spans="1:13">
      <c r="A353" t="s">
        <v>377</v>
      </c>
      <c r="B353" t="s">
        <v>14</v>
      </c>
      <c r="C353" t="s">
        <v>15</v>
      </c>
      <c r="D353" t="s">
        <v>15</v>
      </c>
      <c r="E353" t="s">
        <v>15</v>
      </c>
      <c r="F353">
        <v>44</v>
      </c>
      <c r="G353" t="s">
        <v>25</v>
      </c>
      <c r="H353" t="s">
        <v>18</v>
      </c>
      <c r="I353" t="s">
        <v>36</v>
      </c>
      <c r="J353">
        <v>51.04</v>
      </c>
      <c r="K353">
        <v>2174.02</v>
      </c>
      <c r="L353" t="s">
        <v>15</v>
      </c>
      <c r="M353" t="str">
        <f t="shared" si="6"/>
        <v>3 to 4 years</v>
      </c>
    </row>
    <row r="354" spans="1:13">
      <c r="A354" t="s">
        <v>378</v>
      </c>
      <c r="B354" t="s">
        <v>14</v>
      </c>
      <c r="C354" t="s">
        <v>15</v>
      </c>
      <c r="D354" t="s">
        <v>16</v>
      </c>
      <c r="E354" t="s">
        <v>15</v>
      </c>
      <c r="F354">
        <v>65</v>
      </c>
      <c r="G354" t="s">
        <v>22</v>
      </c>
      <c r="H354" t="s">
        <v>34</v>
      </c>
      <c r="I354" t="s">
        <v>19</v>
      </c>
      <c r="J354">
        <v>58.23</v>
      </c>
      <c r="K354">
        <v>3721.68</v>
      </c>
      <c r="L354" t="s">
        <v>15</v>
      </c>
      <c r="M354" t="str">
        <f t="shared" si="6"/>
        <v>5 to 6 years</v>
      </c>
    </row>
    <row r="355" spans="1:13">
      <c r="A355" t="s">
        <v>379</v>
      </c>
      <c r="B355" t="s">
        <v>21</v>
      </c>
      <c r="C355" t="s">
        <v>15</v>
      </c>
      <c r="D355" t="s">
        <v>16</v>
      </c>
      <c r="E355" t="s">
        <v>15</v>
      </c>
      <c r="F355">
        <v>44</v>
      </c>
      <c r="G355" t="s">
        <v>22</v>
      </c>
      <c r="H355" t="s">
        <v>15</v>
      </c>
      <c r="I355" t="s">
        <v>23</v>
      </c>
      <c r="J355">
        <v>80.83</v>
      </c>
      <c r="K355">
        <v>3594.45</v>
      </c>
      <c r="L355" t="s">
        <v>16</v>
      </c>
      <c r="M355" t="str">
        <f t="shared" si="6"/>
        <v>3 to 4 years</v>
      </c>
    </row>
    <row r="356" spans="1:13">
      <c r="A356" t="s">
        <v>380</v>
      </c>
      <c r="B356" t="s">
        <v>21</v>
      </c>
      <c r="C356" t="s">
        <v>15</v>
      </c>
      <c r="D356" t="s">
        <v>16</v>
      </c>
      <c r="E356" t="s">
        <v>15</v>
      </c>
      <c r="F356">
        <v>19</v>
      </c>
      <c r="G356" t="s">
        <v>25</v>
      </c>
      <c r="H356" t="s">
        <v>15</v>
      </c>
      <c r="I356" t="s">
        <v>23</v>
      </c>
      <c r="J356">
        <v>29.24</v>
      </c>
      <c r="K356">
        <v>559.04</v>
      </c>
      <c r="L356" t="s">
        <v>15</v>
      </c>
      <c r="M356" t="str">
        <f t="shared" si="6"/>
        <v>1 to 2 years</v>
      </c>
    </row>
    <row r="357" spans="1:13">
      <c r="A357" t="s">
        <v>381</v>
      </c>
      <c r="B357" t="s">
        <v>14</v>
      </c>
      <c r="C357" t="s">
        <v>15</v>
      </c>
      <c r="D357" t="s">
        <v>16</v>
      </c>
      <c r="E357" t="s">
        <v>16</v>
      </c>
      <c r="F357">
        <v>63</v>
      </c>
      <c r="G357" t="s">
        <v>22</v>
      </c>
      <c r="H357" t="s">
        <v>18</v>
      </c>
      <c r="I357" t="s">
        <v>36</v>
      </c>
      <c r="J357">
        <v>74.790000000000006</v>
      </c>
      <c r="K357">
        <v>4782.9799999999996</v>
      </c>
      <c r="L357" t="s">
        <v>15</v>
      </c>
      <c r="M357" t="str">
        <f t="shared" si="6"/>
        <v>5 to 6 years</v>
      </c>
    </row>
    <row r="358" spans="1:13">
      <c r="A358" t="s">
        <v>382</v>
      </c>
      <c r="B358" t="s">
        <v>21</v>
      </c>
      <c r="C358" t="s">
        <v>16</v>
      </c>
      <c r="D358" t="s">
        <v>15</v>
      </c>
      <c r="E358" t="s">
        <v>15</v>
      </c>
      <c r="F358">
        <v>66</v>
      </c>
      <c r="G358" t="s">
        <v>25</v>
      </c>
      <c r="H358" t="s">
        <v>18</v>
      </c>
      <c r="I358" t="s">
        <v>23</v>
      </c>
      <c r="J358">
        <v>87.31</v>
      </c>
      <c r="K358">
        <v>5709.45</v>
      </c>
      <c r="L358" t="s">
        <v>15</v>
      </c>
      <c r="M358" t="str">
        <f t="shared" si="6"/>
        <v>5 to 6 years</v>
      </c>
    </row>
    <row r="359" spans="1:13">
      <c r="A359" t="s">
        <v>383</v>
      </c>
      <c r="B359" t="s">
        <v>21</v>
      </c>
      <c r="C359" t="s">
        <v>15</v>
      </c>
      <c r="D359" t="s">
        <v>16</v>
      </c>
      <c r="E359" t="s">
        <v>16</v>
      </c>
      <c r="F359">
        <v>2</v>
      </c>
      <c r="G359" t="s">
        <v>25</v>
      </c>
      <c r="H359" t="s">
        <v>34</v>
      </c>
      <c r="I359" t="s">
        <v>19</v>
      </c>
      <c r="J359">
        <v>46.93</v>
      </c>
      <c r="K359">
        <v>149.94999999999999</v>
      </c>
      <c r="L359" t="s">
        <v>15</v>
      </c>
      <c r="M359" t="str">
        <f t="shared" si="6"/>
        <v>Up to 1 year</v>
      </c>
    </row>
    <row r="360" spans="1:13">
      <c r="A360" t="s">
        <v>384</v>
      </c>
      <c r="B360" t="s">
        <v>14</v>
      </c>
      <c r="C360" t="s">
        <v>15</v>
      </c>
      <c r="D360" t="s">
        <v>15</v>
      </c>
      <c r="E360" t="s">
        <v>15</v>
      </c>
      <c r="F360">
        <v>53</v>
      </c>
      <c r="G360" t="s">
        <v>17</v>
      </c>
      <c r="H360" t="s">
        <v>34</v>
      </c>
      <c r="I360" t="s">
        <v>19</v>
      </c>
      <c r="J360">
        <v>97.41</v>
      </c>
      <c r="K360">
        <v>4983.67</v>
      </c>
      <c r="L360" t="s">
        <v>15</v>
      </c>
      <c r="M360" t="str">
        <f t="shared" si="6"/>
        <v>4 to 5 years</v>
      </c>
    </row>
    <row r="361" spans="1:13">
      <c r="A361" t="s">
        <v>385</v>
      </c>
      <c r="B361" t="s">
        <v>14</v>
      </c>
      <c r="C361" t="s">
        <v>16</v>
      </c>
      <c r="D361" t="s">
        <v>16</v>
      </c>
      <c r="E361" t="s">
        <v>16</v>
      </c>
      <c r="F361">
        <v>63</v>
      </c>
      <c r="G361" t="s">
        <v>17</v>
      </c>
      <c r="H361" t="s">
        <v>18</v>
      </c>
      <c r="I361" t="s">
        <v>19</v>
      </c>
      <c r="J361">
        <v>97.35</v>
      </c>
      <c r="K361">
        <v>6120.69</v>
      </c>
      <c r="L361" t="s">
        <v>15</v>
      </c>
      <c r="M361" t="str">
        <f t="shared" si="6"/>
        <v>5 to 6 years</v>
      </c>
    </row>
    <row r="362" spans="1:13">
      <c r="A362" t="s">
        <v>386</v>
      </c>
      <c r="B362" t="s">
        <v>21</v>
      </c>
      <c r="C362" t="s">
        <v>15</v>
      </c>
      <c r="D362" t="s">
        <v>15</v>
      </c>
      <c r="E362" t="s">
        <v>16</v>
      </c>
      <c r="F362">
        <v>39</v>
      </c>
      <c r="G362" t="s">
        <v>22</v>
      </c>
      <c r="H362" t="s">
        <v>34</v>
      </c>
      <c r="I362" t="s">
        <v>23</v>
      </c>
      <c r="J362">
        <v>120.24</v>
      </c>
      <c r="K362">
        <v>4639.99</v>
      </c>
      <c r="L362" t="s">
        <v>15</v>
      </c>
      <c r="M362" t="str">
        <f t="shared" si="6"/>
        <v>3 to 4 years</v>
      </c>
    </row>
    <row r="363" spans="1:13">
      <c r="A363" t="s">
        <v>387</v>
      </c>
      <c r="B363" t="s">
        <v>14</v>
      </c>
      <c r="C363" t="s">
        <v>15</v>
      </c>
      <c r="D363" t="s">
        <v>15</v>
      </c>
      <c r="E363" t="s">
        <v>15</v>
      </c>
      <c r="F363">
        <v>58</v>
      </c>
      <c r="G363" t="s">
        <v>25</v>
      </c>
      <c r="H363" t="s">
        <v>34</v>
      </c>
      <c r="I363" t="s">
        <v>19</v>
      </c>
      <c r="J363">
        <v>89.54</v>
      </c>
      <c r="K363">
        <v>5156.92</v>
      </c>
      <c r="L363" t="s">
        <v>15</v>
      </c>
      <c r="M363" t="str">
        <f t="shared" si="6"/>
        <v>4 to 5 years</v>
      </c>
    </row>
    <row r="364" spans="1:13">
      <c r="A364" t="s">
        <v>388</v>
      </c>
      <c r="B364" t="s">
        <v>14</v>
      </c>
      <c r="C364" t="s">
        <v>15</v>
      </c>
      <c r="D364" t="s">
        <v>15</v>
      </c>
      <c r="E364" t="s">
        <v>16</v>
      </c>
      <c r="F364">
        <v>54</v>
      </c>
      <c r="G364" t="s">
        <v>22</v>
      </c>
      <c r="H364" t="s">
        <v>18</v>
      </c>
      <c r="I364" t="s">
        <v>19</v>
      </c>
      <c r="J364">
        <v>55.98</v>
      </c>
      <c r="K364">
        <v>3014.69</v>
      </c>
      <c r="L364" t="s">
        <v>15</v>
      </c>
      <c r="M364" t="str">
        <f t="shared" si="6"/>
        <v>4 to 5 years</v>
      </c>
    </row>
    <row r="365" spans="1:13">
      <c r="A365" t="s">
        <v>389</v>
      </c>
      <c r="B365" t="s">
        <v>21</v>
      </c>
      <c r="C365" t="s">
        <v>15</v>
      </c>
      <c r="D365" t="s">
        <v>15</v>
      </c>
      <c r="E365" t="s">
        <v>15</v>
      </c>
      <c r="F365">
        <v>61</v>
      </c>
      <c r="G365" t="s">
        <v>17</v>
      </c>
      <c r="H365" t="s">
        <v>34</v>
      </c>
      <c r="I365" t="s">
        <v>36</v>
      </c>
      <c r="J365">
        <v>83.26</v>
      </c>
      <c r="K365">
        <v>5169.9399999999996</v>
      </c>
      <c r="L365" t="s">
        <v>15</v>
      </c>
      <c r="M365" t="str">
        <f t="shared" si="6"/>
        <v>5 to 6 years</v>
      </c>
    </row>
    <row r="366" spans="1:13">
      <c r="A366" t="s">
        <v>390</v>
      </c>
      <c r="B366" t="s">
        <v>14</v>
      </c>
      <c r="C366" t="s">
        <v>15</v>
      </c>
      <c r="D366" t="s">
        <v>15</v>
      </c>
      <c r="E366" t="s">
        <v>15</v>
      </c>
      <c r="F366">
        <v>3</v>
      </c>
      <c r="G366" t="s">
        <v>25</v>
      </c>
      <c r="H366" t="s">
        <v>15</v>
      </c>
      <c r="I366" t="s">
        <v>23</v>
      </c>
      <c r="J366">
        <v>79.7</v>
      </c>
      <c r="K366">
        <v>146.78</v>
      </c>
      <c r="L366" t="s">
        <v>15</v>
      </c>
      <c r="M366" t="str">
        <f t="shared" si="6"/>
        <v>Up to 1 year</v>
      </c>
    </row>
    <row r="367" spans="1:13">
      <c r="A367" t="s">
        <v>391</v>
      </c>
      <c r="B367" t="s">
        <v>14</v>
      </c>
      <c r="C367" t="s">
        <v>15</v>
      </c>
      <c r="D367" t="s">
        <v>15</v>
      </c>
      <c r="E367" t="s">
        <v>16</v>
      </c>
      <c r="F367">
        <v>59</v>
      </c>
      <c r="G367" t="s">
        <v>25</v>
      </c>
      <c r="H367" t="s">
        <v>34</v>
      </c>
      <c r="I367" t="s">
        <v>19</v>
      </c>
      <c r="J367">
        <v>95.99</v>
      </c>
      <c r="K367">
        <v>5488.37</v>
      </c>
      <c r="L367" t="s">
        <v>15</v>
      </c>
      <c r="M367" t="str">
        <f t="shared" si="6"/>
        <v>4 to 5 years</v>
      </c>
    </row>
    <row r="368" spans="1:13">
      <c r="A368" t="s">
        <v>392</v>
      </c>
      <c r="B368" t="s">
        <v>21</v>
      </c>
      <c r="C368" t="s">
        <v>16</v>
      </c>
      <c r="D368" t="s">
        <v>16</v>
      </c>
      <c r="E368" t="s">
        <v>16</v>
      </c>
      <c r="F368">
        <v>29</v>
      </c>
      <c r="G368" t="s">
        <v>25</v>
      </c>
      <c r="H368" t="s">
        <v>18</v>
      </c>
      <c r="I368" t="s">
        <v>19</v>
      </c>
      <c r="J368">
        <v>60.58</v>
      </c>
      <c r="K368">
        <v>1673.78</v>
      </c>
      <c r="L368" t="s">
        <v>15</v>
      </c>
      <c r="M368" t="str">
        <f t="shared" si="6"/>
        <v>2 to 3 years</v>
      </c>
    </row>
    <row r="369" spans="1:13">
      <c r="A369" t="s">
        <v>393</v>
      </c>
      <c r="B369" t="s">
        <v>21</v>
      </c>
      <c r="C369" t="s">
        <v>15</v>
      </c>
      <c r="D369" t="s">
        <v>15</v>
      </c>
      <c r="E369" t="s">
        <v>15</v>
      </c>
      <c r="F369">
        <v>1</v>
      </c>
      <c r="G369" t="s">
        <v>22</v>
      </c>
      <c r="H369" t="s">
        <v>18</v>
      </c>
      <c r="I369" t="s">
        <v>19</v>
      </c>
      <c r="J369">
        <v>57.59</v>
      </c>
      <c r="K369">
        <v>139.38</v>
      </c>
      <c r="L369" t="s">
        <v>15</v>
      </c>
      <c r="M369" t="str">
        <f t="shared" si="6"/>
        <v>Up to 1 year</v>
      </c>
    </row>
    <row r="370" spans="1:13">
      <c r="A370" t="s">
        <v>394</v>
      </c>
      <c r="B370" t="s">
        <v>14</v>
      </c>
      <c r="C370" t="s">
        <v>15</v>
      </c>
      <c r="D370" t="s">
        <v>16</v>
      </c>
      <c r="E370" t="s">
        <v>15</v>
      </c>
      <c r="F370">
        <v>61</v>
      </c>
      <c r="G370" t="s">
        <v>25</v>
      </c>
      <c r="H370" t="s">
        <v>18</v>
      </c>
      <c r="I370" t="s">
        <v>26</v>
      </c>
      <c r="J370">
        <v>51.51</v>
      </c>
      <c r="K370">
        <v>3010.51</v>
      </c>
      <c r="L370" t="s">
        <v>15</v>
      </c>
      <c r="M370" t="str">
        <f t="shared" si="6"/>
        <v>5 to 6 years</v>
      </c>
    </row>
    <row r="371" spans="1:13">
      <c r="A371" t="s">
        <v>395</v>
      </c>
      <c r="B371" t="s">
        <v>14</v>
      </c>
      <c r="C371" t="s">
        <v>15</v>
      </c>
      <c r="D371" t="s">
        <v>16</v>
      </c>
      <c r="E371" t="s">
        <v>15</v>
      </c>
      <c r="F371">
        <v>48</v>
      </c>
      <c r="G371" t="s">
        <v>17</v>
      </c>
      <c r="H371" t="s">
        <v>34</v>
      </c>
      <c r="I371" t="s">
        <v>23</v>
      </c>
      <c r="J371">
        <v>110.12</v>
      </c>
      <c r="K371">
        <v>5240</v>
      </c>
      <c r="L371" t="s">
        <v>15</v>
      </c>
      <c r="M371" t="str">
        <f t="shared" si="6"/>
        <v>3 to 4 years</v>
      </c>
    </row>
    <row r="372" spans="1:13">
      <c r="A372" t="s">
        <v>396</v>
      </c>
      <c r="B372" t="s">
        <v>21</v>
      </c>
      <c r="C372" t="s">
        <v>15</v>
      </c>
      <c r="D372" t="s">
        <v>15</v>
      </c>
      <c r="E372" t="s">
        <v>15</v>
      </c>
      <c r="F372">
        <v>8</v>
      </c>
      <c r="G372" t="s">
        <v>25</v>
      </c>
      <c r="H372" t="s">
        <v>18</v>
      </c>
      <c r="I372" t="s">
        <v>23</v>
      </c>
      <c r="J372">
        <v>95.57</v>
      </c>
      <c r="K372">
        <v>831.73</v>
      </c>
      <c r="L372" t="s">
        <v>16</v>
      </c>
      <c r="M372" t="str">
        <f t="shared" si="6"/>
        <v>Up to 1 year</v>
      </c>
    </row>
    <row r="373" spans="1:13">
      <c r="A373" t="s">
        <v>397</v>
      </c>
      <c r="B373" t="s">
        <v>21</v>
      </c>
      <c r="C373" t="s">
        <v>15</v>
      </c>
      <c r="D373" t="s">
        <v>16</v>
      </c>
      <c r="E373" t="s">
        <v>15</v>
      </c>
      <c r="F373">
        <v>30</v>
      </c>
      <c r="G373" t="s">
        <v>17</v>
      </c>
      <c r="H373" t="s">
        <v>15</v>
      </c>
      <c r="I373" t="s">
        <v>26</v>
      </c>
      <c r="J373">
        <v>34.47</v>
      </c>
      <c r="K373">
        <v>1029.43</v>
      </c>
      <c r="L373" t="s">
        <v>15</v>
      </c>
      <c r="M373" t="str">
        <f t="shared" si="6"/>
        <v>2 to 3 years</v>
      </c>
    </row>
    <row r="374" spans="1:13">
      <c r="A374" t="s">
        <v>398</v>
      </c>
      <c r="B374" t="s">
        <v>21</v>
      </c>
      <c r="C374" t="s">
        <v>15</v>
      </c>
      <c r="D374" t="s">
        <v>15</v>
      </c>
      <c r="E374" t="s">
        <v>15</v>
      </c>
      <c r="F374">
        <v>60</v>
      </c>
      <c r="G374" t="s">
        <v>22</v>
      </c>
      <c r="H374" t="s">
        <v>18</v>
      </c>
      <c r="I374" t="s">
        <v>19</v>
      </c>
      <c r="J374">
        <v>83.18</v>
      </c>
      <c r="K374">
        <v>5081.1000000000004</v>
      </c>
      <c r="L374" t="s">
        <v>15</v>
      </c>
      <c r="M374" t="str">
        <f t="shared" si="6"/>
        <v>4 to 5 years</v>
      </c>
    </row>
    <row r="375" spans="1:13">
      <c r="A375" t="s">
        <v>399</v>
      </c>
      <c r="B375" t="s">
        <v>21</v>
      </c>
      <c r="C375" t="s">
        <v>15</v>
      </c>
      <c r="D375" t="s">
        <v>16</v>
      </c>
      <c r="E375" t="s">
        <v>15</v>
      </c>
      <c r="F375">
        <v>47</v>
      </c>
      <c r="G375" t="s">
        <v>22</v>
      </c>
      <c r="H375" t="s">
        <v>18</v>
      </c>
      <c r="I375" t="s">
        <v>19</v>
      </c>
      <c r="J375">
        <v>76.91</v>
      </c>
      <c r="K375">
        <v>3451.98</v>
      </c>
      <c r="L375" t="s">
        <v>15</v>
      </c>
      <c r="M375" t="str">
        <f t="shared" si="6"/>
        <v>3 to 4 years</v>
      </c>
    </row>
    <row r="376" spans="1:13">
      <c r="A376" t="s">
        <v>400</v>
      </c>
      <c r="B376" t="s">
        <v>14</v>
      </c>
      <c r="C376" t="s">
        <v>16</v>
      </c>
      <c r="D376" t="s">
        <v>15</v>
      </c>
      <c r="E376" t="s">
        <v>15</v>
      </c>
      <c r="F376">
        <v>24</v>
      </c>
      <c r="G376" t="s">
        <v>17</v>
      </c>
      <c r="H376" t="s">
        <v>18</v>
      </c>
      <c r="I376" t="s">
        <v>23</v>
      </c>
      <c r="J376">
        <v>55.69</v>
      </c>
      <c r="K376">
        <v>1310.83</v>
      </c>
      <c r="L376" t="s">
        <v>16</v>
      </c>
      <c r="M376" t="str">
        <f t="shared" si="6"/>
        <v>1 to 2 years</v>
      </c>
    </row>
    <row r="377" spans="1:13">
      <c r="A377" t="s">
        <v>401</v>
      </c>
      <c r="B377" t="s">
        <v>21</v>
      </c>
      <c r="C377" t="s">
        <v>16</v>
      </c>
      <c r="D377" t="s">
        <v>16</v>
      </c>
      <c r="E377" t="s">
        <v>16</v>
      </c>
      <c r="F377">
        <v>35</v>
      </c>
      <c r="G377" t="s">
        <v>17</v>
      </c>
      <c r="H377" t="s">
        <v>18</v>
      </c>
      <c r="I377" t="s">
        <v>23</v>
      </c>
      <c r="J377">
        <v>80.900000000000006</v>
      </c>
      <c r="K377">
        <v>2938.47</v>
      </c>
      <c r="L377" t="s">
        <v>15</v>
      </c>
      <c r="M377" t="str">
        <f t="shared" si="6"/>
        <v>2 to 3 years</v>
      </c>
    </row>
    <row r="378" spans="1:13">
      <c r="A378" t="s">
        <v>402</v>
      </c>
      <c r="B378" t="s">
        <v>21</v>
      </c>
      <c r="C378" t="s">
        <v>15</v>
      </c>
      <c r="D378" t="s">
        <v>15</v>
      </c>
      <c r="E378" t="s">
        <v>15</v>
      </c>
      <c r="F378">
        <v>7</v>
      </c>
      <c r="G378" t="s">
        <v>22</v>
      </c>
      <c r="H378" t="s">
        <v>18</v>
      </c>
      <c r="I378" t="s">
        <v>23</v>
      </c>
      <c r="J378">
        <v>84.77</v>
      </c>
      <c r="K378">
        <v>503.24</v>
      </c>
      <c r="L378" t="s">
        <v>15</v>
      </c>
      <c r="M378" t="str">
        <f t="shared" si="6"/>
        <v>Up to 1 year</v>
      </c>
    </row>
    <row r="379" spans="1:13">
      <c r="A379" t="s">
        <v>403</v>
      </c>
      <c r="B379" t="s">
        <v>14</v>
      </c>
      <c r="C379" t="s">
        <v>15</v>
      </c>
      <c r="D379" t="s">
        <v>15</v>
      </c>
      <c r="E379" t="s">
        <v>15</v>
      </c>
      <c r="F379">
        <v>72</v>
      </c>
      <c r="G379" t="s">
        <v>17</v>
      </c>
      <c r="H379" t="s">
        <v>15</v>
      </c>
      <c r="I379" t="s">
        <v>23</v>
      </c>
      <c r="J379">
        <v>103.28</v>
      </c>
      <c r="K379">
        <v>7518.94</v>
      </c>
      <c r="L379" t="s">
        <v>15</v>
      </c>
      <c r="M379" t="str">
        <f t="shared" si="6"/>
        <v>5 to 6 years</v>
      </c>
    </row>
    <row r="380" spans="1:13">
      <c r="A380" t="s">
        <v>404</v>
      </c>
      <c r="B380" t="s">
        <v>21</v>
      </c>
      <c r="C380" t="s">
        <v>16</v>
      </c>
      <c r="D380" t="s">
        <v>15</v>
      </c>
      <c r="E380" t="s">
        <v>15</v>
      </c>
      <c r="F380">
        <v>57</v>
      </c>
      <c r="G380" t="s">
        <v>22</v>
      </c>
      <c r="H380" t="s">
        <v>34</v>
      </c>
      <c r="I380" t="s">
        <v>19</v>
      </c>
      <c r="J380">
        <v>53.61</v>
      </c>
      <c r="K380">
        <v>3036.91</v>
      </c>
      <c r="L380" t="s">
        <v>16</v>
      </c>
      <c r="M380" t="str">
        <f t="shared" si="6"/>
        <v>4 to 5 years</v>
      </c>
    </row>
    <row r="381" spans="1:13">
      <c r="A381" t="s">
        <v>405</v>
      </c>
      <c r="B381" t="s">
        <v>14</v>
      </c>
      <c r="C381" t="s">
        <v>15</v>
      </c>
      <c r="D381" t="s">
        <v>15</v>
      </c>
      <c r="E381" t="s">
        <v>15</v>
      </c>
      <c r="F381">
        <v>44</v>
      </c>
      <c r="G381" t="s">
        <v>25</v>
      </c>
      <c r="H381" t="s">
        <v>18</v>
      </c>
      <c r="I381" t="s">
        <v>36</v>
      </c>
      <c r="J381">
        <v>37.270000000000003</v>
      </c>
      <c r="K381">
        <v>1674.61</v>
      </c>
      <c r="L381" t="s">
        <v>15</v>
      </c>
      <c r="M381" t="str">
        <f t="shared" si="6"/>
        <v>3 to 4 years</v>
      </c>
    </row>
    <row r="382" spans="1:13">
      <c r="A382" t="s">
        <v>406</v>
      </c>
      <c r="B382" t="s">
        <v>21</v>
      </c>
      <c r="C382" t="s">
        <v>15</v>
      </c>
      <c r="D382" t="s">
        <v>16</v>
      </c>
      <c r="E382" t="s">
        <v>15</v>
      </c>
      <c r="F382">
        <v>61</v>
      </c>
      <c r="G382" t="s">
        <v>22</v>
      </c>
      <c r="H382" t="s">
        <v>18</v>
      </c>
      <c r="I382" t="s">
        <v>23</v>
      </c>
      <c r="J382">
        <v>53.78</v>
      </c>
      <c r="K382">
        <v>3381.75</v>
      </c>
      <c r="L382" t="s">
        <v>15</v>
      </c>
      <c r="M382" t="str">
        <f t="shared" si="6"/>
        <v>5 to 6 years</v>
      </c>
    </row>
    <row r="383" spans="1:13">
      <c r="A383" t="s">
        <v>407</v>
      </c>
      <c r="B383" t="s">
        <v>21</v>
      </c>
      <c r="C383" t="s">
        <v>15</v>
      </c>
      <c r="D383" t="s">
        <v>15</v>
      </c>
      <c r="E383" t="s">
        <v>15</v>
      </c>
      <c r="F383">
        <v>38</v>
      </c>
      <c r="G383" t="s">
        <v>22</v>
      </c>
      <c r="H383" t="s">
        <v>18</v>
      </c>
      <c r="I383" t="s">
        <v>23</v>
      </c>
      <c r="J383">
        <v>57.68</v>
      </c>
      <c r="K383">
        <v>2226.23</v>
      </c>
      <c r="L383" t="s">
        <v>15</v>
      </c>
      <c r="M383" t="str">
        <f t="shared" si="6"/>
        <v>3 to 4 years</v>
      </c>
    </row>
    <row r="384" spans="1:13">
      <c r="A384" t="s">
        <v>408</v>
      </c>
      <c r="B384" t="s">
        <v>21</v>
      </c>
      <c r="C384" t="s">
        <v>16</v>
      </c>
      <c r="D384" t="s">
        <v>16</v>
      </c>
      <c r="E384" t="s">
        <v>15</v>
      </c>
      <c r="F384">
        <v>57</v>
      </c>
      <c r="G384" t="s">
        <v>22</v>
      </c>
      <c r="H384" t="s">
        <v>15</v>
      </c>
      <c r="I384" t="s">
        <v>23</v>
      </c>
      <c r="J384">
        <v>44.33</v>
      </c>
      <c r="K384">
        <v>2479.5100000000002</v>
      </c>
      <c r="L384" t="s">
        <v>15</v>
      </c>
      <c r="M384" t="str">
        <f t="shared" si="6"/>
        <v>4 to 5 years</v>
      </c>
    </row>
    <row r="385" spans="1:13">
      <c r="A385" t="s">
        <v>409</v>
      </c>
      <c r="B385" t="s">
        <v>14</v>
      </c>
      <c r="C385" t="s">
        <v>16</v>
      </c>
      <c r="D385" t="s">
        <v>16</v>
      </c>
      <c r="E385" t="s">
        <v>15</v>
      </c>
      <c r="F385">
        <v>63</v>
      </c>
      <c r="G385" t="s">
        <v>22</v>
      </c>
      <c r="H385" t="s">
        <v>15</v>
      </c>
      <c r="I385" t="s">
        <v>19</v>
      </c>
      <c r="J385">
        <v>28.84</v>
      </c>
      <c r="K385">
        <v>1861.89</v>
      </c>
      <c r="L385" t="s">
        <v>15</v>
      </c>
      <c r="M385" t="str">
        <f t="shared" si="6"/>
        <v>5 to 6 years</v>
      </c>
    </row>
    <row r="386" spans="1:13">
      <c r="A386" t="s">
        <v>410</v>
      </c>
      <c r="B386" t="s">
        <v>14</v>
      </c>
      <c r="C386" t="s">
        <v>15</v>
      </c>
      <c r="D386" t="s">
        <v>16</v>
      </c>
      <c r="E386" t="s">
        <v>15</v>
      </c>
      <c r="F386">
        <v>43</v>
      </c>
      <c r="G386" t="s">
        <v>22</v>
      </c>
      <c r="H386" t="s">
        <v>18</v>
      </c>
      <c r="I386" t="s">
        <v>23</v>
      </c>
      <c r="J386">
        <v>100.55</v>
      </c>
      <c r="K386">
        <v>4270.71</v>
      </c>
      <c r="L386" t="s">
        <v>15</v>
      </c>
      <c r="M386" t="str">
        <f t="shared" si="6"/>
        <v>3 to 4 years</v>
      </c>
    </row>
    <row r="387" spans="1:13">
      <c r="A387" t="s">
        <v>411</v>
      </c>
      <c r="B387" t="s">
        <v>21</v>
      </c>
      <c r="C387" t="s">
        <v>15</v>
      </c>
      <c r="D387" t="s">
        <v>15</v>
      </c>
      <c r="E387" t="s">
        <v>15</v>
      </c>
      <c r="F387">
        <v>28</v>
      </c>
      <c r="G387" t="s">
        <v>22</v>
      </c>
      <c r="H387" t="s">
        <v>34</v>
      </c>
      <c r="I387" t="s">
        <v>36</v>
      </c>
      <c r="J387">
        <v>42.1</v>
      </c>
      <c r="K387">
        <v>1200.67</v>
      </c>
      <c r="L387" t="s">
        <v>16</v>
      </c>
      <c r="M387" t="str">
        <f t="shared" ref="M387:M450" si="7">IF(F387=0,"Just signed",IF(F387&lt;=12,"Up to 1 year",IF(F387&lt;=24,"1 to 2 years",IF(F387&lt;=36,"2 to 3 years",IF(F387&lt;=48,"3 to 4 years",IF(F387&lt;=60,"4 to 5 years","5 to 6 years"))))))</f>
        <v>2 to 3 years</v>
      </c>
    </row>
    <row r="388" spans="1:13">
      <c r="A388" t="s">
        <v>412</v>
      </c>
      <c r="B388" t="s">
        <v>14</v>
      </c>
      <c r="C388" t="s">
        <v>15</v>
      </c>
      <c r="D388" t="s">
        <v>16</v>
      </c>
      <c r="E388" t="s">
        <v>15</v>
      </c>
      <c r="F388">
        <v>58</v>
      </c>
      <c r="G388" t="s">
        <v>22</v>
      </c>
      <c r="H388" t="s">
        <v>34</v>
      </c>
      <c r="I388" t="s">
        <v>26</v>
      </c>
      <c r="J388">
        <v>70.5</v>
      </c>
      <c r="K388">
        <v>3988.85</v>
      </c>
      <c r="L388" t="s">
        <v>15</v>
      </c>
      <c r="M388" t="str">
        <f t="shared" si="7"/>
        <v>4 to 5 years</v>
      </c>
    </row>
    <row r="389" spans="1:13">
      <c r="A389" t="s">
        <v>413</v>
      </c>
      <c r="B389" t="s">
        <v>14</v>
      </c>
      <c r="C389" t="s">
        <v>15</v>
      </c>
      <c r="D389" t="s">
        <v>16</v>
      </c>
      <c r="E389" t="s">
        <v>15</v>
      </c>
      <c r="F389">
        <v>70</v>
      </c>
      <c r="G389" t="s">
        <v>25</v>
      </c>
      <c r="H389" t="s">
        <v>18</v>
      </c>
      <c r="I389" t="s">
        <v>36</v>
      </c>
      <c r="J389">
        <v>130</v>
      </c>
      <c r="K389">
        <v>9102.33</v>
      </c>
      <c r="L389" t="s">
        <v>15</v>
      </c>
      <c r="M389" t="str">
        <f t="shared" si="7"/>
        <v>5 to 6 years</v>
      </c>
    </row>
    <row r="390" spans="1:13">
      <c r="A390" t="s">
        <v>414</v>
      </c>
      <c r="B390" t="s">
        <v>14</v>
      </c>
      <c r="C390" t="s">
        <v>16</v>
      </c>
      <c r="D390" t="s">
        <v>16</v>
      </c>
      <c r="E390" t="s">
        <v>15</v>
      </c>
      <c r="F390">
        <v>8</v>
      </c>
      <c r="G390" t="s">
        <v>25</v>
      </c>
      <c r="H390" t="s">
        <v>15</v>
      </c>
      <c r="I390" t="s">
        <v>36</v>
      </c>
      <c r="J390">
        <v>68.84</v>
      </c>
      <c r="K390">
        <v>645.86</v>
      </c>
      <c r="L390" t="s">
        <v>15</v>
      </c>
      <c r="M390" t="str">
        <f t="shared" si="7"/>
        <v>Up to 1 year</v>
      </c>
    </row>
    <row r="391" spans="1:13">
      <c r="A391" t="s">
        <v>415</v>
      </c>
      <c r="B391" t="s">
        <v>14</v>
      </c>
      <c r="C391" t="s">
        <v>15</v>
      </c>
      <c r="D391" t="s">
        <v>15</v>
      </c>
      <c r="E391" t="s">
        <v>15</v>
      </c>
      <c r="F391">
        <v>5</v>
      </c>
      <c r="G391" t="s">
        <v>22</v>
      </c>
      <c r="H391" t="s">
        <v>34</v>
      </c>
      <c r="I391" t="s">
        <v>19</v>
      </c>
      <c r="J391">
        <v>81.27</v>
      </c>
      <c r="K391">
        <v>382.45</v>
      </c>
      <c r="L391" t="s">
        <v>16</v>
      </c>
      <c r="M391" t="str">
        <f t="shared" si="7"/>
        <v>Up to 1 year</v>
      </c>
    </row>
    <row r="392" spans="1:13">
      <c r="A392" t="s">
        <v>416</v>
      </c>
      <c r="B392" t="s">
        <v>14</v>
      </c>
      <c r="C392" t="s">
        <v>15</v>
      </c>
      <c r="D392" t="s">
        <v>15</v>
      </c>
      <c r="E392" t="s">
        <v>15</v>
      </c>
      <c r="F392">
        <v>28</v>
      </c>
      <c r="G392" t="s">
        <v>25</v>
      </c>
      <c r="H392" t="s">
        <v>34</v>
      </c>
      <c r="I392" t="s">
        <v>19</v>
      </c>
      <c r="J392">
        <v>116.43</v>
      </c>
      <c r="K392">
        <v>3347.54</v>
      </c>
      <c r="L392" t="s">
        <v>15</v>
      </c>
      <c r="M392" t="str">
        <f t="shared" si="7"/>
        <v>2 to 3 years</v>
      </c>
    </row>
    <row r="393" spans="1:13">
      <c r="A393" t="s">
        <v>417</v>
      </c>
      <c r="B393" t="s">
        <v>14</v>
      </c>
      <c r="C393" t="s">
        <v>15</v>
      </c>
      <c r="D393" t="s">
        <v>16</v>
      </c>
      <c r="E393" t="s">
        <v>16</v>
      </c>
      <c r="F393">
        <v>57</v>
      </c>
      <c r="G393" t="s">
        <v>22</v>
      </c>
      <c r="H393" t="s">
        <v>34</v>
      </c>
      <c r="I393" t="s">
        <v>23</v>
      </c>
      <c r="J393">
        <v>101.14</v>
      </c>
      <c r="K393">
        <v>6012.45</v>
      </c>
      <c r="L393" t="s">
        <v>15</v>
      </c>
      <c r="M393" t="str">
        <f t="shared" si="7"/>
        <v>4 to 5 years</v>
      </c>
    </row>
    <row r="394" spans="1:13">
      <c r="A394" t="s">
        <v>418</v>
      </c>
      <c r="B394" t="s">
        <v>21</v>
      </c>
      <c r="C394" t="s">
        <v>15</v>
      </c>
      <c r="D394" t="s">
        <v>15</v>
      </c>
      <c r="E394" t="s">
        <v>15</v>
      </c>
      <c r="F394">
        <v>16</v>
      </c>
      <c r="G394" t="s">
        <v>17</v>
      </c>
      <c r="H394" t="s">
        <v>18</v>
      </c>
      <c r="I394" t="s">
        <v>19</v>
      </c>
      <c r="J394">
        <v>94.13</v>
      </c>
      <c r="K394">
        <v>1503.76</v>
      </c>
      <c r="L394" t="s">
        <v>15</v>
      </c>
      <c r="M394" t="str">
        <f t="shared" si="7"/>
        <v>1 to 2 years</v>
      </c>
    </row>
    <row r="395" spans="1:13">
      <c r="A395" t="s">
        <v>419</v>
      </c>
      <c r="B395" t="s">
        <v>21</v>
      </c>
      <c r="C395" t="s">
        <v>15</v>
      </c>
      <c r="D395" t="s">
        <v>15</v>
      </c>
      <c r="E395" t="s">
        <v>16</v>
      </c>
      <c r="F395">
        <v>15</v>
      </c>
      <c r="G395" t="s">
        <v>17</v>
      </c>
      <c r="H395" t="s">
        <v>34</v>
      </c>
      <c r="I395" t="s">
        <v>36</v>
      </c>
      <c r="J395">
        <v>62.23</v>
      </c>
      <c r="K395">
        <v>982.59</v>
      </c>
      <c r="L395" t="s">
        <v>15</v>
      </c>
      <c r="M395" t="str">
        <f t="shared" si="7"/>
        <v>1 to 2 years</v>
      </c>
    </row>
    <row r="396" spans="1:13">
      <c r="A396" t="s">
        <v>420</v>
      </c>
      <c r="B396" t="s">
        <v>14</v>
      </c>
      <c r="C396" t="s">
        <v>15</v>
      </c>
      <c r="D396" t="s">
        <v>16</v>
      </c>
      <c r="E396" t="s">
        <v>15</v>
      </c>
      <c r="F396">
        <v>2</v>
      </c>
      <c r="G396" t="s">
        <v>22</v>
      </c>
      <c r="H396" t="s">
        <v>18</v>
      </c>
      <c r="I396" t="s">
        <v>23</v>
      </c>
      <c r="J396">
        <v>79.430000000000007</v>
      </c>
      <c r="K396">
        <v>197.01</v>
      </c>
      <c r="L396" t="s">
        <v>15</v>
      </c>
      <c r="M396" t="str">
        <f t="shared" si="7"/>
        <v>Up to 1 year</v>
      </c>
    </row>
    <row r="397" spans="1:13">
      <c r="A397" t="s">
        <v>421</v>
      </c>
      <c r="B397" t="s">
        <v>21</v>
      </c>
      <c r="C397" t="s">
        <v>15</v>
      </c>
      <c r="D397" t="s">
        <v>16</v>
      </c>
      <c r="E397" t="s">
        <v>15</v>
      </c>
      <c r="F397">
        <v>20</v>
      </c>
      <c r="G397" t="s">
        <v>22</v>
      </c>
      <c r="H397" t="s">
        <v>18</v>
      </c>
      <c r="I397" t="s">
        <v>36</v>
      </c>
      <c r="J397">
        <v>78.22</v>
      </c>
      <c r="K397">
        <v>1582.41</v>
      </c>
      <c r="L397" t="s">
        <v>15</v>
      </c>
      <c r="M397" t="str">
        <f t="shared" si="7"/>
        <v>1 to 2 years</v>
      </c>
    </row>
    <row r="398" spans="1:13">
      <c r="A398" t="s">
        <v>422</v>
      </c>
      <c r="B398" t="s">
        <v>21</v>
      </c>
      <c r="C398" t="s">
        <v>15</v>
      </c>
      <c r="D398" t="s">
        <v>15</v>
      </c>
      <c r="E398" t="s">
        <v>16</v>
      </c>
      <c r="F398">
        <v>63</v>
      </c>
      <c r="G398" t="s">
        <v>22</v>
      </c>
      <c r="H398" t="s">
        <v>18</v>
      </c>
      <c r="I398" t="s">
        <v>23</v>
      </c>
      <c r="J398">
        <v>69.959999999999994</v>
      </c>
      <c r="K398">
        <v>4470.51</v>
      </c>
      <c r="L398" t="s">
        <v>16</v>
      </c>
      <c r="M398" t="str">
        <f t="shared" si="7"/>
        <v>5 to 6 years</v>
      </c>
    </row>
    <row r="399" spans="1:13">
      <c r="A399" t="s">
        <v>423</v>
      </c>
      <c r="B399" t="s">
        <v>21</v>
      </c>
      <c r="C399" t="s">
        <v>15</v>
      </c>
      <c r="D399" t="s">
        <v>16</v>
      </c>
      <c r="E399" t="s">
        <v>16</v>
      </c>
      <c r="F399">
        <v>35</v>
      </c>
      <c r="G399" t="s">
        <v>22</v>
      </c>
      <c r="H399" t="s">
        <v>18</v>
      </c>
      <c r="I399" t="s">
        <v>36</v>
      </c>
      <c r="J399">
        <v>85.3</v>
      </c>
      <c r="K399">
        <v>2965.65</v>
      </c>
      <c r="L399" t="s">
        <v>15</v>
      </c>
      <c r="M399" t="str">
        <f t="shared" si="7"/>
        <v>2 to 3 years</v>
      </c>
    </row>
    <row r="400" spans="1:13">
      <c r="A400" t="s">
        <v>424</v>
      </c>
      <c r="B400" t="s">
        <v>21</v>
      </c>
      <c r="C400" t="s">
        <v>16</v>
      </c>
      <c r="D400" t="s">
        <v>15</v>
      </c>
      <c r="E400" t="s">
        <v>15</v>
      </c>
      <c r="F400">
        <v>61</v>
      </c>
      <c r="G400" t="s">
        <v>17</v>
      </c>
      <c r="H400" t="s">
        <v>18</v>
      </c>
      <c r="I400" t="s">
        <v>36</v>
      </c>
      <c r="J400">
        <v>88.77</v>
      </c>
      <c r="K400">
        <v>5361.97</v>
      </c>
      <c r="L400" t="s">
        <v>15</v>
      </c>
      <c r="M400" t="str">
        <f t="shared" si="7"/>
        <v>5 to 6 years</v>
      </c>
    </row>
    <row r="401" spans="1:13">
      <c r="A401" t="s">
        <v>425</v>
      </c>
      <c r="B401" t="s">
        <v>14</v>
      </c>
      <c r="C401" t="s">
        <v>16</v>
      </c>
      <c r="D401" t="s">
        <v>15</v>
      </c>
      <c r="E401" t="s">
        <v>15</v>
      </c>
      <c r="F401">
        <v>41</v>
      </c>
      <c r="G401" t="s">
        <v>22</v>
      </c>
      <c r="H401" t="s">
        <v>34</v>
      </c>
      <c r="I401" t="s">
        <v>26</v>
      </c>
      <c r="J401">
        <v>38.880000000000003</v>
      </c>
      <c r="K401">
        <v>1471.97</v>
      </c>
      <c r="L401" t="s">
        <v>15</v>
      </c>
      <c r="M401" t="str">
        <f t="shared" si="7"/>
        <v>3 to 4 years</v>
      </c>
    </row>
    <row r="402" spans="1:13">
      <c r="A402" t="s">
        <v>426</v>
      </c>
      <c r="B402" t="s">
        <v>21</v>
      </c>
      <c r="C402" t="s">
        <v>15</v>
      </c>
      <c r="D402" t="s">
        <v>15</v>
      </c>
      <c r="E402" t="s">
        <v>15</v>
      </c>
      <c r="F402">
        <v>41</v>
      </c>
      <c r="G402" t="s">
        <v>22</v>
      </c>
      <c r="H402" t="s">
        <v>18</v>
      </c>
      <c r="I402" t="s">
        <v>26</v>
      </c>
      <c r="J402">
        <v>120.8</v>
      </c>
      <c r="K402">
        <v>4925.38</v>
      </c>
      <c r="L402" t="s">
        <v>15</v>
      </c>
      <c r="M402" t="str">
        <f t="shared" si="7"/>
        <v>3 to 4 years</v>
      </c>
    </row>
    <row r="403" spans="1:13">
      <c r="A403" t="s">
        <v>427</v>
      </c>
      <c r="B403" t="s">
        <v>21</v>
      </c>
      <c r="C403" t="s">
        <v>16</v>
      </c>
      <c r="D403" t="s">
        <v>15</v>
      </c>
      <c r="E403" t="s">
        <v>16</v>
      </c>
      <c r="F403">
        <v>60</v>
      </c>
      <c r="G403" t="s">
        <v>22</v>
      </c>
      <c r="H403" t="s">
        <v>18</v>
      </c>
      <c r="I403" t="s">
        <v>19</v>
      </c>
      <c r="J403">
        <v>90.24</v>
      </c>
      <c r="K403">
        <v>5486.51</v>
      </c>
      <c r="L403" t="s">
        <v>15</v>
      </c>
      <c r="M403" t="str">
        <f t="shared" si="7"/>
        <v>4 to 5 years</v>
      </c>
    </row>
    <row r="404" spans="1:13">
      <c r="A404" t="s">
        <v>428</v>
      </c>
      <c r="B404" t="s">
        <v>14</v>
      </c>
      <c r="C404" t="s">
        <v>15</v>
      </c>
      <c r="D404" t="s">
        <v>15</v>
      </c>
      <c r="E404" t="s">
        <v>15</v>
      </c>
      <c r="F404">
        <v>12</v>
      </c>
      <c r="G404" t="s">
        <v>22</v>
      </c>
      <c r="H404" t="s">
        <v>15</v>
      </c>
      <c r="I404" t="s">
        <v>36</v>
      </c>
      <c r="J404">
        <v>48.43</v>
      </c>
      <c r="K404">
        <v>505.98</v>
      </c>
      <c r="L404" t="s">
        <v>15</v>
      </c>
      <c r="M404" t="str">
        <f t="shared" si="7"/>
        <v>Up to 1 year</v>
      </c>
    </row>
    <row r="405" spans="1:13">
      <c r="A405" t="s">
        <v>429</v>
      </c>
      <c r="B405" t="s">
        <v>14</v>
      </c>
      <c r="C405" t="s">
        <v>15</v>
      </c>
      <c r="D405" t="s">
        <v>15</v>
      </c>
      <c r="E405" t="s">
        <v>15</v>
      </c>
      <c r="F405">
        <v>10</v>
      </c>
      <c r="G405" t="s">
        <v>22</v>
      </c>
      <c r="H405" t="s">
        <v>34</v>
      </c>
      <c r="I405" t="s">
        <v>36</v>
      </c>
      <c r="J405">
        <v>75.53</v>
      </c>
      <c r="K405">
        <v>775.03</v>
      </c>
      <c r="L405" t="s">
        <v>16</v>
      </c>
      <c r="M405" t="str">
        <f t="shared" si="7"/>
        <v>Up to 1 year</v>
      </c>
    </row>
    <row r="406" spans="1:13">
      <c r="A406" t="s">
        <v>430</v>
      </c>
      <c r="B406" t="s">
        <v>21</v>
      </c>
      <c r="C406" t="s">
        <v>15</v>
      </c>
      <c r="D406" t="s">
        <v>16</v>
      </c>
      <c r="E406" t="s">
        <v>15</v>
      </c>
      <c r="F406">
        <v>53</v>
      </c>
      <c r="G406" t="s">
        <v>22</v>
      </c>
      <c r="H406" t="s">
        <v>34</v>
      </c>
      <c r="I406" t="s">
        <v>26</v>
      </c>
      <c r="J406">
        <v>93.26</v>
      </c>
      <c r="K406">
        <v>4932.93</v>
      </c>
      <c r="L406" t="s">
        <v>15</v>
      </c>
      <c r="M406" t="str">
        <f t="shared" si="7"/>
        <v>4 to 5 years</v>
      </c>
    </row>
    <row r="407" spans="1:13">
      <c r="A407" t="s">
        <v>431</v>
      </c>
      <c r="B407" t="s">
        <v>21</v>
      </c>
      <c r="C407" t="s">
        <v>15</v>
      </c>
      <c r="D407" t="s">
        <v>16</v>
      </c>
      <c r="E407" t="s">
        <v>15</v>
      </c>
      <c r="F407">
        <v>15</v>
      </c>
      <c r="G407" t="s">
        <v>25</v>
      </c>
      <c r="H407" t="s">
        <v>34</v>
      </c>
      <c r="I407" t="s">
        <v>26</v>
      </c>
      <c r="J407">
        <v>33.33</v>
      </c>
      <c r="K407">
        <v>450.29</v>
      </c>
      <c r="L407" t="s">
        <v>15</v>
      </c>
      <c r="M407" t="str">
        <f t="shared" si="7"/>
        <v>1 to 2 years</v>
      </c>
    </row>
    <row r="408" spans="1:13">
      <c r="A408" t="s">
        <v>432</v>
      </c>
      <c r="B408" t="s">
        <v>21</v>
      </c>
      <c r="C408" t="s">
        <v>15</v>
      </c>
      <c r="D408" t="s">
        <v>15</v>
      </c>
      <c r="E408" t="s">
        <v>15</v>
      </c>
      <c r="F408">
        <v>7</v>
      </c>
      <c r="G408" t="s">
        <v>22</v>
      </c>
      <c r="H408" t="s">
        <v>18</v>
      </c>
      <c r="I408" t="s">
        <v>26</v>
      </c>
      <c r="J408">
        <v>77.37</v>
      </c>
      <c r="K408">
        <v>393.35</v>
      </c>
      <c r="L408" t="s">
        <v>16</v>
      </c>
      <c r="M408" t="str">
        <f t="shared" si="7"/>
        <v>Up to 1 year</v>
      </c>
    </row>
    <row r="409" spans="1:13">
      <c r="A409" t="s">
        <v>433</v>
      </c>
      <c r="B409" t="s">
        <v>21</v>
      </c>
      <c r="C409" t="s">
        <v>15</v>
      </c>
      <c r="D409" t="s">
        <v>15</v>
      </c>
      <c r="E409" t="s">
        <v>16</v>
      </c>
      <c r="F409">
        <v>58</v>
      </c>
      <c r="G409" t="s">
        <v>22</v>
      </c>
      <c r="H409" t="s">
        <v>18</v>
      </c>
      <c r="I409" t="s">
        <v>36</v>
      </c>
      <c r="J409">
        <v>50.35</v>
      </c>
      <c r="K409">
        <v>3029.33</v>
      </c>
      <c r="L409" t="s">
        <v>16</v>
      </c>
      <c r="M409" t="str">
        <f t="shared" si="7"/>
        <v>4 to 5 years</v>
      </c>
    </row>
    <row r="410" spans="1:13">
      <c r="A410" t="s">
        <v>434</v>
      </c>
      <c r="B410" t="s">
        <v>21</v>
      </c>
      <c r="C410" t="s">
        <v>15</v>
      </c>
      <c r="D410" t="s">
        <v>15</v>
      </c>
      <c r="E410" t="s">
        <v>15</v>
      </c>
      <c r="F410">
        <v>56</v>
      </c>
      <c r="G410" t="s">
        <v>17</v>
      </c>
      <c r="H410" t="s">
        <v>34</v>
      </c>
      <c r="I410" t="s">
        <v>19</v>
      </c>
      <c r="J410">
        <v>136.43</v>
      </c>
      <c r="K410">
        <v>7681.46</v>
      </c>
      <c r="L410" t="s">
        <v>15</v>
      </c>
      <c r="M410" t="str">
        <f t="shared" si="7"/>
        <v>4 to 5 years</v>
      </c>
    </row>
    <row r="411" spans="1:13">
      <c r="A411" t="s">
        <v>435</v>
      </c>
      <c r="B411" t="s">
        <v>21</v>
      </c>
      <c r="C411" t="s">
        <v>15</v>
      </c>
      <c r="D411" t="s">
        <v>16</v>
      </c>
      <c r="E411" t="s">
        <v>15</v>
      </c>
      <c r="F411">
        <v>39</v>
      </c>
      <c r="G411" t="s">
        <v>22</v>
      </c>
      <c r="H411" t="s">
        <v>18</v>
      </c>
      <c r="I411" t="s">
        <v>36</v>
      </c>
      <c r="J411">
        <v>83.45</v>
      </c>
      <c r="K411">
        <v>3467.77</v>
      </c>
      <c r="L411" t="s">
        <v>15</v>
      </c>
      <c r="M411" t="str">
        <f t="shared" si="7"/>
        <v>3 to 4 years</v>
      </c>
    </row>
    <row r="412" spans="1:13">
      <c r="A412" t="s">
        <v>436</v>
      </c>
      <c r="B412" t="s">
        <v>14</v>
      </c>
      <c r="C412" t="s">
        <v>15</v>
      </c>
      <c r="D412" t="s">
        <v>15</v>
      </c>
      <c r="E412" t="s">
        <v>15</v>
      </c>
      <c r="F412">
        <v>58</v>
      </c>
      <c r="G412" t="s">
        <v>17</v>
      </c>
      <c r="H412" t="s">
        <v>34</v>
      </c>
      <c r="I412" t="s">
        <v>19</v>
      </c>
      <c r="J412">
        <v>40.56</v>
      </c>
      <c r="K412">
        <v>2438.83</v>
      </c>
      <c r="L412" t="s">
        <v>15</v>
      </c>
      <c r="M412" t="str">
        <f t="shared" si="7"/>
        <v>4 to 5 years</v>
      </c>
    </row>
    <row r="413" spans="1:13">
      <c r="A413" t="s">
        <v>437</v>
      </c>
      <c r="B413" t="s">
        <v>21</v>
      </c>
      <c r="C413" t="s">
        <v>15</v>
      </c>
      <c r="D413" t="s">
        <v>16</v>
      </c>
      <c r="E413" t="s">
        <v>16</v>
      </c>
      <c r="F413">
        <v>1</v>
      </c>
      <c r="G413" t="s">
        <v>17</v>
      </c>
      <c r="H413" t="s">
        <v>34</v>
      </c>
      <c r="I413" t="s">
        <v>23</v>
      </c>
      <c r="J413">
        <v>140</v>
      </c>
      <c r="K413">
        <v>247.24</v>
      </c>
      <c r="L413" t="s">
        <v>15</v>
      </c>
      <c r="M413" t="str">
        <f t="shared" si="7"/>
        <v>Up to 1 year</v>
      </c>
    </row>
    <row r="414" spans="1:13">
      <c r="A414" t="s">
        <v>438</v>
      </c>
      <c r="B414" t="s">
        <v>21</v>
      </c>
      <c r="C414" t="s">
        <v>15</v>
      </c>
      <c r="D414" t="s">
        <v>15</v>
      </c>
      <c r="E414" t="s">
        <v>15</v>
      </c>
      <c r="F414">
        <v>9</v>
      </c>
      <c r="G414" t="s">
        <v>22</v>
      </c>
      <c r="H414" t="s">
        <v>18</v>
      </c>
      <c r="I414" t="s">
        <v>19</v>
      </c>
      <c r="J414">
        <v>66.599999999999994</v>
      </c>
      <c r="K414">
        <v>459.45</v>
      </c>
      <c r="L414" t="s">
        <v>16</v>
      </c>
      <c r="M414" t="str">
        <f t="shared" si="7"/>
        <v>Up to 1 year</v>
      </c>
    </row>
    <row r="415" spans="1:13">
      <c r="A415" t="s">
        <v>439</v>
      </c>
      <c r="B415" t="s">
        <v>14</v>
      </c>
      <c r="C415" t="s">
        <v>15</v>
      </c>
      <c r="D415" t="s">
        <v>15</v>
      </c>
      <c r="E415" t="s">
        <v>16</v>
      </c>
      <c r="F415">
        <v>43</v>
      </c>
      <c r="G415" t="s">
        <v>22</v>
      </c>
      <c r="H415" t="s">
        <v>34</v>
      </c>
      <c r="I415" t="s">
        <v>19</v>
      </c>
      <c r="J415">
        <v>64.77</v>
      </c>
      <c r="K415">
        <v>2643.76</v>
      </c>
      <c r="L415" t="s">
        <v>15</v>
      </c>
      <c r="M415" t="str">
        <f t="shared" si="7"/>
        <v>3 to 4 years</v>
      </c>
    </row>
    <row r="416" spans="1:13">
      <c r="A416" t="s">
        <v>440</v>
      </c>
      <c r="B416" t="s">
        <v>14</v>
      </c>
      <c r="C416" t="s">
        <v>15</v>
      </c>
      <c r="D416" t="s">
        <v>16</v>
      </c>
      <c r="E416" t="s">
        <v>15</v>
      </c>
      <c r="F416">
        <v>10</v>
      </c>
      <c r="G416" t="s">
        <v>22</v>
      </c>
      <c r="H416" t="s">
        <v>18</v>
      </c>
      <c r="I416" t="s">
        <v>23</v>
      </c>
      <c r="J416">
        <v>76.58</v>
      </c>
      <c r="K416">
        <v>769.18</v>
      </c>
      <c r="L416" t="s">
        <v>15</v>
      </c>
      <c r="M416" t="str">
        <f t="shared" si="7"/>
        <v>Up to 1 year</v>
      </c>
    </row>
    <row r="417" spans="1:13">
      <c r="A417" t="s">
        <v>441</v>
      </c>
      <c r="B417" t="s">
        <v>14</v>
      </c>
      <c r="C417" t="s">
        <v>15</v>
      </c>
      <c r="D417" t="s">
        <v>16</v>
      </c>
      <c r="E417" t="s">
        <v>15</v>
      </c>
      <c r="F417">
        <v>1</v>
      </c>
      <c r="G417" t="s">
        <v>22</v>
      </c>
      <c r="H417" t="s">
        <v>18</v>
      </c>
      <c r="I417" t="s">
        <v>23</v>
      </c>
      <c r="J417">
        <v>58.8</v>
      </c>
      <c r="K417">
        <v>29.4</v>
      </c>
      <c r="L417" t="s">
        <v>16</v>
      </c>
      <c r="M417" t="str">
        <f t="shared" si="7"/>
        <v>Up to 1 year</v>
      </c>
    </row>
    <row r="418" spans="1:13">
      <c r="A418" t="s">
        <v>442</v>
      </c>
      <c r="B418" t="s">
        <v>14</v>
      </c>
      <c r="C418" t="s">
        <v>15</v>
      </c>
      <c r="D418" t="s">
        <v>15</v>
      </c>
      <c r="E418" t="s">
        <v>15</v>
      </c>
      <c r="F418">
        <v>49</v>
      </c>
      <c r="G418" t="s">
        <v>22</v>
      </c>
      <c r="H418" t="s">
        <v>18</v>
      </c>
      <c r="I418" t="s">
        <v>19</v>
      </c>
      <c r="J418">
        <v>86.18</v>
      </c>
      <c r="K418">
        <v>4168.32</v>
      </c>
      <c r="L418" t="s">
        <v>15</v>
      </c>
      <c r="M418" t="str">
        <f t="shared" si="7"/>
        <v>4 to 5 years</v>
      </c>
    </row>
    <row r="419" spans="1:13">
      <c r="A419" t="s">
        <v>443</v>
      </c>
      <c r="B419" t="s">
        <v>21</v>
      </c>
      <c r="C419" t="s">
        <v>15</v>
      </c>
      <c r="D419" t="s">
        <v>15</v>
      </c>
      <c r="E419" t="s">
        <v>16</v>
      </c>
      <c r="F419">
        <v>11</v>
      </c>
      <c r="G419" t="s">
        <v>22</v>
      </c>
      <c r="H419" t="s">
        <v>34</v>
      </c>
      <c r="I419" t="s">
        <v>23</v>
      </c>
      <c r="J419">
        <v>20</v>
      </c>
      <c r="K419">
        <v>422.1</v>
      </c>
      <c r="L419" t="s">
        <v>15</v>
      </c>
      <c r="M419" t="str">
        <f t="shared" si="7"/>
        <v>Up to 1 year</v>
      </c>
    </row>
    <row r="420" spans="1:13">
      <c r="A420" t="s">
        <v>444</v>
      </c>
      <c r="B420" t="s">
        <v>21</v>
      </c>
      <c r="C420" t="s">
        <v>15</v>
      </c>
      <c r="D420" t="s">
        <v>15</v>
      </c>
      <c r="E420" t="s">
        <v>16</v>
      </c>
      <c r="F420">
        <v>22</v>
      </c>
      <c r="G420" t="s">
        <v>22</v>
      </c>
      <c r="H420" t="s">
        <v>15</v>
      </c>
      <c r="I420" t="s">
        <v>23</v>
      </c>
      <c r="J420">
        <v>82.15</v>
      </c>
      <c r="K420">
        <v>1902.49</v>
      </c>
      <c r="L420" t="s">
        <v>15</v>
      </c>
      <c r="M420" t="str">
        <f t="shared" si="7"/>
        <v>1 to 2 years</v>
      </c>
    </row>
    <row r="421" spans="1:13">
      <c r="A421" t="s">
        <v>445</v>
      </c>
      <c r="B421" t="s">
        <v>21</v>
      </c>
      <c r="C421" t="s">
        <v>16</v>
      </c>
      <c r="D421" t="s">
        <v>16</v>
      </c>
      <c r="E421" t="s">
        <v>15</v>
      </c>
      <c r="F421">
        <v>17</v>
      </c>
      <c r="G421" t="s">
        <v>22</v>
      </c>
      <c r="H421" t="s">
        <v>18</v>
      </c>
      <c r="I421" t="s">
        <v>26</v>
      </c>
      <c r="J421">
        <v>51.8</v>
      </c>
      <c r="K421">
        <v>805.75</v>
      </c>
      <c r="L421" t="s">
        <v>16</v>
      </c>
      <c r="M421" t="str">
        <f t="shared" si="7"/>
        <v>1 to 2 years</v>
      </c>
    </row>
    <row r="422" spans="1:13">
      <c r="A422" t="s">
        <v>446</v>
      </c>
      <c r="B422" t="s">
        <v>21</v>
      </c>
      <c r="C422" t="s">
        <v>15</v>
      </c>
      <c r="D422" t="s">
        <v>16</v>
      </c>
      <c r="E422" t="s">
        <v>16</v>
      </c>
      <c r="F422">
        <v>61</v>
      </c>
      <c r="G422" t="s">
        <v>17</v>
      </c>
      <c r="H422" t="s">
        <v>18</v>
      </c>
      <c r="I422" t="s">
        <v>36</v>
      </c>
      <c r="J422">
        <v>69.62</v>
      </c>
      <c r="K422">
        <v>4057.53</v>
      </c>
      <c r="L422" t="s">
        <v>15</v>
      </c>
      <c r="M422" t="str">
        <f t="shared" si="7"/>
        <v>5 to 6 years</v>
      </c>
    </row>
    <row r="423" spans="1:13">
      <c r="A423" t="s">
        <v>447</v>
      </c>
      <c r="B423" t="s">
        <v>21</v>
      </c>
      <c r="C423" t="s">
        <v>15</v>
      </c>
      <c r="D423" t="s">
        <v>16</v>
      </c>
      <c r="E423" t="s">
        <v>16</v>
      </c>
      <c r="F423">
        <v>61</v>
      </c>
      <c r="G423" t="s">
        <v>17</v>
      </c>
      <c r="H423" t="s">
        <v>34</v>
      </c>
      <c r="I423" t="s">
        <v>26</v>
      </c>
      <c r="J423">
        <v>88.79</v>
      </c>
      <c r="K423">
        <v>5334.6</v>
      </c>
      <c r="L423" t="s">
        <v>15</v>
      </c>
      <c r="M423" t="str">
        <f t="shared" si="7"/>
        <v>5 to 6 years</v>
      </c>
    </row>
    <row r="424" spans="1:13">
      <c r="A424" t="s">
        <v>448</v>
      </c>
      <c r="B424" t="s">
        <v>21</v>
      </c>
      <c r="C424" t="s">
        <v>15</v>
      </c>
      <c r="D424" t="s">
        <v>16</v>
      </c>
      <c r="E424" t="s">
        <v>15</v>
      </c>
      <c r="F424">
        <v>37</v>
      </c>
      <c r="G424" t="s">
        <v>22</v>
      </c>
      <c r="H424" t="s">
        <v>34</v>
      </c>
      <c r="I424" t="s">
        <v>36</v>
      </c>
      <c r="J424">
        <v>64.89</v>
      </c>
      <c r="K424">
        <v>2356.35</v>
      </c>
      <c r="L424" t="s">
        <v>15</v>
      </c>
      <c r="M424" t="str">
        <f t="shared" si="7"/>
        <v>3 to 4 years</v>
      </c>
    </row>
    <row r="425" spans="1:13">
      <c r="A425" t="s">
        <v>449</v>
      </c>
      <c r="B425" t="s">
        <v>14</v>
      </c>
      <c r="C425" t="s">
        <v>15</v>
      </c>
      <c r="D425" t="s">
        <v>16</v>
      </c>
      <c r="E425" t="s">
        <v>15</v>
      </c>
      <c r="F425">
        <v>66</v>
      </c>
      <c r="G425" t="s">
        <v>22</v>
      </c>
      <c r="H425" t="s">
        <v>34</v>
      </c>
      <c r="I425" t="s">
        <v>26</v>
      </c>
      <c r="J425">
        <v>65.91</v>
      </c>
      <c r="K425">
        <v>4324.3599999999997</v>
      </c>
      <c r="L425" t="s">
        <v>15</v>
      </c>
      <c r="M425" t="str">
        <f t="shared" si="7"/>
        <v>5 to 6 years</v>
      </c>
    </row>
    <row r="426" spans="1:13">
      <c r="A426" t="s">
        <v>450</v>
      </c>
      <c r="B426" t="s">
        <v>21</v>
      </c>
      <c r="C426" t="s">
        <v>15</v>
      </c>
      <c r="D426" t="s">
        <v>16</v>
      </c>
      <c r="E426" t="s">
        <v>16</v>
      </c>
      <c r="F426">
        <v>37</v>
      </c>
      <c r="G426" t="s">
        <v>25</v>
      </c>
      <c r="H426" t="s">
        <v>34</v>
      </c>
      <c r="I426" t="s">
        <v>23</v>
      </c>
      <c r="J426">
        <v>44.7</v>
      </c>
      <c r="K426">
        <v>1551.58</v>
      </c>
      <c r="L426" t="s">
        <v>15</v>
      </c>
      <c r="M426" t="str">
        <f t="shared" si="7"/>
        <v>3 to 4 years</v>
      </c>
    </row>
    <row r="427" spans="1:13">
      <c r="A427" t="s">
        <v>451</v>
      </c>
      <c r="B427" t="s">
        <v>14</v>
      </c>
      <c r="C427" t="s">
        <v>16</v>
      </c>
      <c r="D427" t="s">
        <v>15</v>
      </c>
      <c r="E427" t="s">
        <v>15</v>
      </c>
      <c r="F427">
        <v>66</v>
      </c>
      <c r="G427" t="s">
        <v>17</v>
      </c>
      <c r="H427" t="s">
        <v>18</v>
      </c>
      <c r="I427" t="s">
        <v>26</v>
      </c>
      <c r="J427">
        <v>132.38999999999999</v>
      </c>
      <c r="K427">
        <v>8828.1299999999992</v>
      </c>
      <c r="L427" t="s">
        <v>15</v>
      </c>
      <c r="M427" t="str">
        <f t="shared" si="7"/>
        <v>5 to 6 years</v>
      </c>
    </row>
    <row r="428" spans="1:13">
      <c r="A428" t="s">
        <v>452</v>
      </c>
      <c r="B428" t="s">
        <v>14</v>
      </c>
      <c r="C428" t="s">
        <v>15</v>
      </c>
      <c r="D428" t="s">
        <v>15</v>
      </c>
      <c r="E428" t="s">
        <v>16</v>
      </c>
      <c r="F428">
        <v>60</v>
      </c>
      <c r="G428" t="s">
        <v>25</v>
      </c>
      <c r="H428" t="s">
        <v>15</v>
      </c>
      <c r="I428" t="s">
        <v>26</v>
      </c>
      <c r="J428">
        <v>68.290000000000006</v>
      </c>
      <c r="K428">
        <v>4040.48</v>
      </c>
      <c r="L428" t="s">
        <v>15</v>
      </c>
      <c r="M428" t="str">
        <f t="shared" si="7"/>
        <v>4 to 5 years</v>
      </c>
    </row>
    <row r="429" spans="1:13">
      <c r="A429" t="s">
        <v>453</v>
      </c>
      <c r="B429" t="s">
        <v>21</v>
      </c>
      <c r="C429" t="s">
        <v>15</v>
      </c>
      <c r="D429" t="s">
        <v>16</v>
      </c>
      <c r="E429" t="s">
        <v>15</v>
      </c>
      <c r="F429">
        <v>0</v>
      </c>
      <c r="G429" t="s">
        <v>22</v>
      </c>
      <c r="H429" t="s">
        <v>18</v>
      </c>
      <c r="I429" t="s">
        <v>19</v>
      </c>
      <c r="J429">
        <v>52.93</v>
      </c>
      <c r="K429">
        <v>51.89</v>
      </c>
      <c r="L429" t="s">
        <v>16</v>
      </c>
      <c r="M429" t="str">
        <f t="shared" si="7"/>
        <v>Just signed</v>
      </c>
    </row>
    <row r="430" spans="1:13">
      <c r="A430" t="s">
        <v>454</v>
      </c>
      <c r="B430" t="s">
        <v>14</v>
      </c>
      <c r="C430" t="s">
        <v>15</v>
      </c>
      <c r="D430" t="s">
        <v>15</v>
      </c>
      <c r="E430" t="s">
        <v>15</v>
      </c>
      <c r="F430">
        <v>44</v>
      </c>
      <c r="G430" t="s">
        <v>17</v>
      </c>
      <c r="H430" t="s">
        <v>34</v>
      </c>
      <c r="I430" t="s">
        <v>23</v>
      </c>
      <c r="J430">
        <v>74.45</v>
      </c>
      <c r="K430">
        <v>3280.11</v>
      </c>
      <c r="L430" t="s">
        <v>15</v>
      </c>
      <c r="M430" t="str">
        <f t="shared" si="7"/>
        <v>3 to 4 years</v>
      </c>
    </row>
    <row r="431" spans="1:13">
      <c r="A431" t="s">
        <v>455</v>
      </c>
      <c r="B431" t="s">
        <v>21</v>
      </c>
      <c r="C431" t="s">
        <v>15</v>
      </c>
      <c r="D431" t="s">
        <v>15</v>
      </c>
      <c r="E431" t="s">
        <v>15</v>
      </c>
      <c r="F431">
        <v>27</v>
      </c>
      <c r="G431" t="s">
        <v>22</v>
      </c>
      <c r="H431" t="s">
        <v>18</v>
      </c>
      <c r="I431" t="s">
        <v>26</v>
      </c>
      <c r="J431">
        <v>51.16</v>
      </c>
      <c r="K431">
        <v>1456.4</v>
      </c>
      <c r="L431" t="s">
        <v>15</v>
      </c>
      <c r="M431" t="str">
        <f t="shared" si="7"/>
        <v>2 to 3 years</v>
      </c>
    </row>
    <row r="432" spans="1:13">
      <c r="A432" t="s">
        <v>456</v>
      </c>
      <c r="B432" t="s">
        <v>14</v>
      </c>
      <c r="C432" t="s">
        <v>16</v>
      </c>
      <c r="D432" t="s">
        <v>16</v>
      </c>
      <c r="E432" t="s">
        <v>15</v>
      </c>
      <c r="F432">
        <v>20</v>
      </c>
      <c r="G432" t="s">
        <v>22</v>
      </c>
      <c r="H432" t="s">
        <v>34</v>
      </c>
      <c r="I432" t="s">
        <v>23</v>
      </c>
      <c r="J432">
        <v>113.06</v>
      </c>
      <c r="K432">
        <v>2242.17</v>
      </c>
      <c r="L432" t="s">
        <v>16</v>
      </c>
      <c r="M432" t="str">
        <f t="shared" si="7"/>
        <v>1 to 2 years</v>
      </c>
    </row>
    <row r="433" spans="1:13">
      <c r="A433" t="s">
        <v>457</v>
      </c>
      <c r="B433" t="s">
        <v>21</v>
      </c>
      <c r="C433" t="s">
        <v>15</v>
      </c>
      <c r="D433" t="s">
        <v>15</v>
      </c>
      <c r="E433" t="s">
        <v>15</v>
      </c>
      <c r="F433">
        <v>12</v>
      </c>
      <c r="G433" t="s">
        <v>22</v>
      </c>
      <c r="H433" t="s">
        <v>18</v>
      </c>
      <c r="I433" t="s">
        <v>26</v>
      </c>
      <c r="J433">
        <v>84.99</v>
      </c>
      <c r="K433">
        <v>945.88</v>
      </c>
      <c r="L433" t="s">
        <v>16</v>
      </c>
      <c r="M433" t="str">
        <f t="shared" si="7"/>
        <v>Up to 1 year</v>
      </c>
    </row>
    <row r="434" spans="1:13">
      <c r="A434" t="s">
        <v>458</v>
      </c>
      <c r="B434" t="s">
        <v>14</v>
      </c>
      <c r="C434" t="s">
        <v>15</v>
      </c>
      <c r="D434" t="s">
        <v>16</v>
      </c>
      <c r="E434" t="s">
        <v>15</v>
      </c>
      <c r="F434">
        <v>26</v>
      </c>
      <c r="G434" t="s">
        <v>22</v>
      </c>
      <c r="H434" t="s">
        <v>18</v>
      </c>
      <c r="I434" t="s">
        <v>23</v>
      </c>
      <c r="J434">
        <v>55.61</v>
      </c>
      <c r="K434">
        <v>1397.97</v>
      </c>
      <c r="L434" t="s">
        <v>15</v>
      </c>
      <c r="M434" t="str">
        <f t="shared" si="7"/>
        <v>2 to 3 years</v>
      </c>
    </row>
    <row r="435" spans="1:13">
      <c r="A435" t="s">
        <v>459</v>
      </c>
      <c r="B435" t="s">
        <v>21</v>
      </c>
      <c r="C435" t="s">
        <v>15</v>
      </c>
      <c r="D435" t="s">
        <v>16</v>
      </c>
      <c r="E435" t="s">
        <v>16</v>
      </c>
      <c r="F435">
        <v>6</v>
      </c>
      <c r="G435" t="s">
        <v>22</v>
      </c>
      <c r="H435" t="s">
        <v>18</v>
      </c>
      <c r="I435" t="s">
        <v>19</v>
      </c>
      <c r="J435">
        <v>97.44</v>
      </c>
      <c r="K435">
        <v>537.88</v>
      </c>
      <c r="L435" t="s">
        <v>16</v>
      </c>
      <c r="M435" t="str">
        <f t="shared" si="7"/>
        <v>Up to 1 year</v>
      </c>
    </row>
    <row r="436" spans="1:13">
      <c r="A436" t="s">
        <v>460</v>
      </c>
      <c r="B436" t="s">
        <v>21</v>
      </c>
      <c r="C436" t="s">
        <v>15</v>
      </c>
      <c r="D436" t="s">
        <v>15</v>
      </c>
      <c r="E436" t="s">
        <v>15</v>
      </c>
      <c r="F436">
        <v>21</v>
      </c>
      <c r="G436" t="s">
        <v>22</v>
      </c>
      <c r="H436" t="s">
        <v>15</v>
      </c>
      <c r="I436" t="s">
        <v>19</v>
      </c>
      <c r="J436">
        <v>48.05</v>
      </c>
      <c r="K436">
        <v>1174.21</v>
      </c>
      <c r="L436" t="s">
        <v>16</v>
      </c>
      <c r="M436" t="str">
        <f t="shared" si="7"/>
        <v>1 to 2 years</v>
      </c>
    </row>
    <row r="437" spans="1:13">
      <c r="A437" t="s">
        <v>461</v>
      </c>
      <c r="B437" t="s">
        <v>21</v>
      </c>
      <c r="C437" t="s">
        <v>15</v>
      </c>
      <c r="D437" t="s">
        <v>16</v>
      </c>
      <c r="E437" t="s">
        <v>15</v>
      </c>
      <c r="F437">
        <v>52</v>
      </c>
      <c r="G437" t="s">
        <v>17</v>
      </c>
      <c r="H437" t="s">
        <v>34</v>
      </c>
      <c r="I437" t="s">
        <v>23</v>
      </c>
      <c r="J437">
        <v>37.79</v>
      </c>
      <c r="K437">
        <v>1971.2</v>
      </c>
      <c r="L437" t="s">
        <v>15</v>
      </c>
      <c r="M437" t="str">
        <f t="shared" si="7"/>
        <v>4 to 5 years</v>
      </c>
    </row>
    <row r="438" spans="1:13">
      <c r="A438" t="s">
        <v>462</v>
      </c>
      <c r="B438" t="s">
        <v>21</v>
      </c>
      <c r="C438" t="s">
        <v>16</v>
      </c>
      <c r="D438" t="s">
        <v>16</v>
      </c>
      <c r="E438" t="s">
        <v>15</v>
      </c>
      <c r="F438">
        <v>3</v>
      </c>
      <c r="G438" t="s">
        <v>25</v>
      </c>
      <c r="H438" t="s">
        <v>18</v>
      </c>
      <c r="I438" t="s">
        <v>19</v>
      </c>
      <c r="J438">
        <v>89.53</v>
      </c>
      <c r="K438">
        <v>268.95999999999998</v>
      </c>
      <c r="L438" t="s">
        <v>16</v>
      </c>
      <c r="M438" t="str">
        <f t="shared" si="7"/>
        <v>Up to 1 year</v>
      </c>
    </row>
    <row r="439" spans="1:13">
      <c r="A439" t="s">
        <v>463</v>
      </c>
      <c r="B439" t="s">
        <v>21</v>
      </c>
      <c r="C439" t="s">
        <v>15</v>
      </c>
      <c r="D439" t="s">
        <v>16</v>
      </c>
      <c r="E439" t="s">
        <v>15</v>
      </c>
      <c r="F439">
        <v>22</v>
      </c>
      <c r="G439" t="s">
        <v>22</v>
      </c>
      <c r="H439" t="s">
        <v>15</v>
      </c>
      <c r="I439" t="s">
        <v>26</v>
      </c>
      <c r="J439">
        <v>63.82</v>
      </c>
      <c r="K439">
        <v>1474.6</v>
      </c>
      <c r="L439" t="s">
        <v>16</v>
      </c>
      <c r="M439" t="str">
        <f t="shared" si="7"/>
        <v>1 to 2 years</v>
      </c>
    </row>
    <row r="440" spans="1:13">
      <c r="A440" t="s">
        <v>464</v>
      </c>
      <c r="B440" t="s">
        <v>14</v>
      </c>
      <c r="C440" t="s">
        <v>16</v>
      </c>
      <c r="D440" t="s">
        <v>16</v>
      </c>
      <c r="E440" t="s">
        <v>15</v>
      </c>
      <c r="F440">
        <v>69</v>
      </c>
      <c r="G440" t="s">
        <v>22</v>
      </c>
      <c r="H440" t="s">
        <v>18</v>
      </c>
      <c r="I440" t="s">
        <v>36</v>
      </c>
      <c r="J440">
        <v>108.44</v>
      </c>
      <c r="K440">
        <v>7482.35</v>
      </c>
      <c r="L440" t="s">
        <v>16</v>
      </c>
      <c r="M440" t="str">
        <f t="shared" si="7"/>
        <v>5 to 6 years</v>
      </c>
    </row>
    <row r="441" spans="1:13">
      <c r="A441" t="s">
        <v>465</v>
      </c>
      <c r="B441" t="s">
        <v>14</v>
      </c>
      <c r="C441" t="s">
        <v>15</v>
      </c>
      <c r="D441" t="s">
        <v>16</v>
      </c>
      <c r="E441" t="s">
        <v>16</v>
      </c>
      <c r="F441">
        <v>32</v>
      </c>
      <c r="G441" t="s">
        <v>22</v>
      </c>
      <c r="H441" t="s">
        <v>18</v>
      </c>
      <c r="I441" t="s">
        <v>36</v>
      </c>
      <c r="J441">
        <v>81.61</v>
      </c>
      <c r="K441">
        <v>2701.25</v>
      </c>
      <c r="L441" t="s">
        <v>15</v>
      </c>
      <c r="M441" t="str">
        <f t="shared" si="7"/>
        <v>2 to 3 years</v>
      </c>
    </row>
    <row r="442" spans="1:13">
      <c r="A442" t="s">
        <v>466</v>
      </c>
      <c r="B442" t="s">
        <v>14</v>
      </c>
      <c r="C442" t="s">
        <v>15</v>
      </c>
      <c r="D442" t="s">
        <v>16</v>
      </c>
      <c r="E442" t="s">
        <v>15</v>
      </c>
      <c r="F442">
        <v>27</v>
      </c>
      <c r="G442" t="s">
        <v>17</v>
      </c>
      <c r="H442" t="s">
        <v>15</v>
      </c>
      <c r="I442" t="s">
        <v>19</v>
      </c>
      <c r="J442">
        <v>57.68</v>
      </c>
      <c r="K442">
        <v>1527.59</v>
      </c>
      <c r="L442" t="s">
        <v>15</v>
      </c>
      <c r="M442" t="str">
        <f t="shared" si="7"/>
        <v>2 to 3 years</v>
      </c>
    </row>
    <row r="443" spans="1:13">
      <c r="A443" t="s">
        <v>467</v>
      </c>
      <c r="B443" t="s">
        <v>21</v>
      </c>
      <c r="C443" t="s">
        <v>15</v>
      </c>
      <c r="D443" t="s">
        <v>16</v>
      </c>
      <c r="E443" t="s">
        <v>15</v>
      </c>
      <c r="F443">
        <v>7</v>
      </c>
      <c r="G443" t="s">
        <v>22</v>
      </c>
      <c r="H443" t="s">
        <v>34</v>
      </c>
      <c r="I443" t="s">
        <v>26</v>
      </c>
      <c r="J443">
        <v>74</v>
      </c>
      <c r="K443">
        <v>480.11</v>
      </c>
      <c r="L443" t="s">
        <v>15</v>
      </c>
      <c r="M443" t="str">
        <f t="shared" si="7"/>
        <v>Up to 1 year</v>
      </c>
    </row>
    <row r="444" spans="1:13">
      <c r="A444" t="s">
        <v>468</v>
      </c>
      <c r="B444" t="s">
        <v>14</v>
      </c>
      <c r="C444" t="s">
        <v>15</v>
      </c>
      <c r="D444" t="s">
        <v>16</v>
      </c>
      <c r="E444" t="s">
        <v>15</v>
      </c>
      <c r="F444">
        <v>0</v>
      </c>
      <c r="G444" t="s">
        <v>25</v>
      </c>
      <c r="H444" t="s">
        <v>15</v>
      </c>
      <c r="I444" t="s">
        <v>23</v>
      </c>
      <c r="J444">
        <v>94.88</v>
      </c>
      <c r="K444">
        <v>47.44</v>
      </c>
      <c r="L444" t="s">
        <v>15</v>
      </c>
      <c r="M444" t="str">
        <f t="shared" si="7"/>
        <v>Just signed</v>
      </c>
    </row>
    <row r="445" spans="1:13">
      <c r="A445" t="s">
        <v>469</v>
      </c>
      <c r="B445" t="s">
        <v>21</v>
      </c>
      <c r="C445" t="s">
        <v>15</v>
      </c>
      <c r="D445" t="s">
        <v>15</v>
      </c>
      <c r="E445" t="s">
        <v>15</v>
      </c>
      <c r="F445">
        <v>36</v>
      </c>
      <c r="G445" t="s">
        <v>22</v>
      </c>
      <c r="H445" t="s">
        <v>34</v>
      </c>
      <c r="I445" t="s">
        <v>23</v>
      </c>
      <c r="J445">
        <v>62.25</v>
      </c>
      <c r="K445">
        <v>2389</v>
      </c>
      <c r="L445" t="s">
        <v>15</v>
      </c>
      <c r="M445" t="str">
        <f t="shared" si="7"/>
        <v>2 to 3 years</v>
      </c>
    </row>
    <row r="446" spans="1:13">
      <c r="A446" t="s">
        <v>470</v>
      </c>
      <c r="B446" t="s">
        <v>21</v>
      </c>
      <c r="C446" t="s">
        <v>15</v>
      </c>
      <c r="D446" t="s">
        <v>15</v>
      </c>
      <c r="E446" t="s">
        <v>15</v>
      </c>
      <c r="F446">
        <v>62</v>
      </c>
      <c r="G446" t="s">
        <v>22</v>
      </c>
      <c r="H446" t="s">
        <v>18</v>
      </c>
      <c r="I446" t="s">
        <v>23</v>
      </c>
      <c r="J446">
        <v>91.74</v>
      </c>
      <c r="K446">
        <v>5682.29</v>
      </c>
      <c r="L446" t="s">
        <v>15</v>
      </c>
      <c r="M446" t="str">
        <f t="shared" si="7"/>
        <v>5 to 6 years</v>
      </c>
    </row>
    <row r="447" spans="1:13">
      <c r="A447" t="s">
        <v>471</v>
      </c>
      <c r="B447" t="s">
        <v>14</v>
      </c>
      <c r="C447" t="s">
        <v>16</v>
      </c>
      <c r="D447" t="s">
        <v>15</v>
      </c>
      <c r="E447" t="s">
        <v>15</v>
      </c>
      <c r="F447">
        <v>21</v>
      </c>
      <c r="G447" t="s">
        <v>17</v>
      </c>
      <c r="H447" t="s">
        <v>15</v>
      </c>
      <c r="I447" t="s">
        <v>19</v>
      </c>
      <c r="J447">
        <v>70.42</v>
      </c>
      <c r="K447">
        <v>1384.9</v>
      </c>
      <c r="L447" t="s">
        <v>16</v>
      </c>
      <c r="M447" t="str">
        <f t="shared" si="7"/>
        <v>1 to 2 years</v>
      </c>
    </row>
    <row r="448" spans="1:13">
      <c r="A448" t="s">
        <v>472</v>
      </c>
      <c r="B448" t="s">
        <v>14</v>
      </c>
      <c r="C448" t="s">
        <v>16</v>
      </c>
      <c r="D448" t="s">
        <v>16</v>
      </c>
      <c r="E448" t="s">
        <v>16</v>
      </c>
      <c r="F448">
        <v>69</v>
      </c>
      <c r="G448" t="s">
        <v>25</v>
      </c>
      <c r="H448" t="s">
        <v>34</v>
      </c>
      <c r="I448" t="s">
        <v>23</v>
      </c>
      <c r="J448">
        <v>78.739999999999995</v>
      </c>
      <c r="K448">
        <v>5448.81</v>
      </c>
      <c r="L448" t="s">
        <v>15</v>
      </c>
      <c r="M448" t="str">
        <f t="shared" si="7"/>
        <v>5 to 6 years</v>
      </c>
    </row>
    <row r="449" spans="1:13">
      <c r="A449" t="s">
        <v>473</v>
      </c>
      <c r="B449" t="s">
        <v>21</v>
      </c>
      <c r="C449" t="s">
        <v>15</v>
      </c>
      <c r="D449" t="s">
        <v>16</v>
      </c>
      <c r="E449" t="s">
        <v>16</v>
      </c>
      <c r="F449">
        <v>20</v>
      </c>
      <c r="G449" t="s">
        <v>22</v>
      </c>
      <c r="H449" t="s">
        <v>18</v>
      </c>
      <c r="I449" t="s">
        <v>23</v>
      </c>
      <c r="J449">
        <v>71.3</v>
      </c>
      <c r="K449">
        <v>1374</v>
      </c>
      <c r="L449" t="s">
        <v>15</v>
      </c>
      <c r="M449" t="str">
        <f t="shared" si="7"/>
        <v>1 to 2 years</v>
      </c>
    </row>
    <row r="450" spans="1:13">
      <c r="A450" t="s">
        <v>474</v>
      </c>
      <c r="B450" t="s">
        <v>14</v>
      </c>
      <c r="C450" t="s">
        <v>15</v>
      </c>
      <c r="D450" t="s">
        <v>15</v>
      </c>
      <c r="E450" t="s">
        <v>16</v>
      </c>
      <c r="F450">
        <v>34</v>
      </c>
      <c r="G450" t="s">
        <v>22</v>
      </c>
      <c r="H450" t="s">
        <v>34</v>
      </c>
      <c r="I450" t="s">
        <v>26</v>
      </c>
      <c r="J450">
        <v>73.02</v>
      </c>
      <c r="K450">
        <v>2451.5100000000002</v>
      </c>
      <c r="L450" t="s">
        <v>15</v>
      </c>
      <c r="M450" t="str">
        <f t="shared" si="7"/>
        <v>2 to 3 years</v>
      </c>
    </row>
    <row r="451" spans="1:13">
      <c r="A451" t="s">
        <v>475</v>
      </c>
      <c r="B451" t="s">
        <v>21</v>
      </c>
      <c r="C451" t="s">
        <v>15</v>
      </c>
      <c r="D451" t="s">
        <v>15</v>
      </c>
      <c r="E451" t="s">
        <v>15</v>
      </c>
      <c r="F451">
        <v>4</v>
      </c>
      <c r="G451" t="s">
        <v>25</v>
      </c>
      <c r="H451" t="s">
        <v>15</v>
      </c>
      <c r="I451" t="s">
        <v>26</v>
      </c>
      <c r="J451">
        <v>52.66</v>
      </c>
      <c r="K451">
        <v>235.5</v>
      </c>
      <c r="L451" t="s">
        <v>16</v>
      </c>
      <c r="M451" t="str">
        <f t="shared" ref="M451:M514" si="8">IF(F451=0,"Just signed",IF(F451&lt;=12,"Up to 1 year",IF(F451&lt;=24,"1 to 2 years",IF(F451&lt;=36,"2 to 3 years",IF(F451&lt;=48,"3 to 4 years",IF(F451&lt;=60,"4 to 5 years","5 to 6 years"))))))</f>
        <v>Up to 1 year</v>
      </c>
    </row>
    <row r="452" spans="1:13">
      <c r="A452" t="s">
        <v>476</v>
      </c>
      <c r="B452" t="s">
        <v>21</v>
      </c>
      <c r="C452" t="s">
        <v>15</v>
      </c>
      <c r="D452" t="s">
        <v>15</v>
      </c>
      <c r="E452" t="s">
        <v>16</v>
      </c>
      <c r="F452">
        <v>59</v>
      </c>
      <c r="G452" t="s">
        <v>22</v>
      </c>
      <c r="H452" t="s">
        <v>18</v>
      </c>
      <c r="I452" t="s">
        <v>19</v>
      </c>
      <c r="J452">
        <v>128.97999999999999</v>
      </c>
      <c r="K452">
        <v>7731.5</v>
      </c>
      <c r="L452" t="s">
        <v>15</v>
      </c>
      <c r="M452" t="str">
        <f t="shared" si="8"/>
        <v>4 to 5 years</v>
      </c>
    </row>
    <row r="453" spans="1:13">
      <c r="A453" t="s">
        <v>477</v>
      </c>
      <c r="B453" t="s">
        <v>21</v>
      </c>
      <c r="C453" t="s">
        <v>15</v>
      </c>
      <c r="D453" t="s">
        <v>16</v>
      </c>
      <c r="E453" t="s">
        <v>15</v>
      </c>
      <c r="F453">
        <v>45</v>
      </c>
      <c r="G453" t="s">
        <v>25</v>
      </c>
      <c r="H453" t="s">
        <v>18</v>
      </c>
      <c r="I453" t="s">
        <v>23</v>
      </c>
      <c r="J453">
        <v>68.56</v>
      </c>
      <c r="K453">
        <v>3093.33</v>
      </c>
      <c r="L453" t="s">
        <v>16</v>
      </c>
      <c r="M453" t="str">
        <f t="shared" si="8"/>
        <v>3 to 4 years</v>
      </c>
    </row>
    <row r="454" spans="1:13">
      <c r="A454" t="s">
        <v>478</v>
      </c>
      <c r="B454" t="s">
        <v>21</v>
      </c>
      <c r="C454" t="s">
        <v>15</v>
      </c>
      <c r="D454" t="s">
        <v>15</v>
      </c>
      <c r="E454" t="s">
        <v>15</v>
      </c>
      <c r="F454">
        <v>49</v>
      </c>
      <c r="G454" t="s">
        <v>22</v>
      </c>
      <c r="H454" t="s">
        <v>18</v>
      </c>
      <c r="I454" t="s">
        <v>19</v>
      </c>
      <c r="J454">
        <v>57.19</v>
      </c>
      <c r="K454">
        <v>2745.43</v>
      </c>
      <c r="L454" t="s">
        <v>15</v>
      </c>
      <c r="M454" t="str">
        <f t="shared" si="8"/>
        <v>4 to 5 years</v>
      </c>
    </row>
    <row r="455" spans="1:13">
      <c r="A455" t="s">
        <v>479</v>
      </c>
      <c r="B455" t="s">
        <v>21</v>
      </c>
      <c r="C455" t="s">
        <v>15</v>
      </c>
      <c r="D455" t="s">
        <v>15</v>
      </c>
      <c r="E455" t="s">
        <v>15</v>
      </c>
      <c r="F455">
        <v>47</v>
      </c>
      <c r="G455" t="s">
        <v>17</v>
      </c>
      <c r="H455" t="s">
        <v>18</v>
      </c>
      <c r="I455" t="s">
        <v>19</v>
      </c>
      <c r="J455">
        <v>79.84</v>
      </c>
      <c r="K455">
        <v>3712.09</v>
      </c>
      <c r="L455" t="s">
        <v>15</v>
      </c>
      <c r="M455" t="str">
        <f t="shared" si="8"/>
        <v>3 to 4 years</v>
      </c>
    </row>
    <row r="456" spans="1:13">
      <c r="A456" t="s">
        <v>480</v>
      </c>
      <c r="B456" t="s">
        <v>14</v>
      </c>
      <c r="C456" t="s">
        <v>15</v>
      </c>
      <c r="D456" t="s">
        <v>16</v>
      </c>
      <c r="E456" t="s">
        <v>15</v>
      </c>
      <c r="F456">
        <v>5</v>
      </c>
      <c r="G456" t="s">
        <v>17</v>
      </c>
      <c r="H456" t="s">
        <v>18</v>
      </c>
      <c r="I456" t="s">
        <v>26</v>
      </c>
      <c r="J456">
        <v>78.08</v>
      </c>
      <c r="K456">
        <v>442.92</v>
      </c>
      <c r="L456" t="s">
        <v>16</v>
      </c>
      <c r="M456" t="str">
        <f t="shared" si="8"/>
        <v>Up to 1 year</v>
      </c>
    </row>
    <row r="457" spans="1:13">
      <c r="A457" t="s">
        <v>481</v>
      </c>
      <c r="B457" t="s">
        <v>14</v>
      </c>
      <c r="C457" t="s">
        <v>15</v>
      </c>
      <c r="D457" t="s">
        <v>15</v>
      </c>
      <c r="E457" t="s">
        <v>16</v>
      </c>
      <c r="F457">
        <v>55</v>
      </c>
      <c r="G457" t="s">
        <v>22</v>
      </c>
      <c r="H457" t="s">
        <v>18</v>
      </c>
      <c r="I457" t="s">
        <v>23</v>
      </c>
      <c r="J457">
        <v>84.92</v>
      </c>
      <c r="K457">
        <v>4513.93</v>
      </c>
      <c r="L457" t="s">
        <v>15</v>
      </c>
      <c r="M457" t="str">
        <f t="shared" si="8"/>
        <v>4 to 5 years</v>
      </c>
    </row>
    <row r="458" spans="1:13">
      <c r="A458" t="s">
        <v>482</v>
      </c>
      <c r="B458" t="s">
        <v>21</v>
      </c>
      <c r="C458" t="s">
        <v>15</v>
      </c>
      <c r="D458" t="s">
        <v>16</v>
      </c>
      <c r="E458" t="s">
        <v>15</v>
      </c>
      <c r="F458">
        <v>58</v>
      </c>
      <c r="G458" t="s">
        <v>25</v>
      </c>
      <c r="H458" t="s">
        <v>18</v>
      </c>
      <c r="I458" t="s">
        <v>26</v>
      </c>
      <c r="J458">
        <v>68.56</v>
      </c>
      <c r="K458">
        <v>3893.07</v>
      </c>
      <c r="L458" t="s">
        <v>15</v>
      </c>
      <c r="M458" t="str">
        <f t="shared" si="8"/>
        <v>4 to 5 years</v>
      </c>
    </row>
    <row r="459" spans="1:13">
      <c r="A459" t="s">
        <v>483</v>
      </c>
      <c r="B459" t="s">
        <v>21</v>
      </c>
      <c r="C459" t="s">
        <v>16</v>
      </c>
      <c r="D459" t="s">
        <v>16</v>
      </c>
      <c r="E459" t="s">
        <v>15</v>
      </c>
      <c r="F459">
        <v>28</v>
      </c>
      <c r="G459" t="s">
        <v>22</v>
      </c>
      <c r="H459" t="s">
        <v>18</v>
      </c>
      <c r="I459" t="s">
        <v>36</v>
      </c>
      <c r="J459">
        <v>82.76</v>
      </c>
      <c r="K459">
        <v>2334.29</v>
      </c>
      <c r="L459" t="s">
        <v>15</v>
      </c>
      <c r="M459" t="str">
        <f t="shared" si="8"/>
        <v>2 to 3 years</v>
      </c>
    </row>
    <row r="460" spans="1:13">
      <c r="A460" t="s">
        <v>484</v>
      </c>
      <c r="B460" t="s">
        <v>14</v>
      </c>
      <c r="C460" t="s">
        <v>15</v>
      </c>
      <c r="D460" t="s">
        <v>16</v>
      </c>
      <c r="E460" t="s">
        <v>15</v>
      </c>
      <c r="F460">
        <v>70</v>
      </c>
      <c r="G460" t="s">
        <v>22</v>
      </c>
      <c r="H460" t="s">
        <v>34</v>
      </c>
      <c r="I460" t="s">
        <v>23</v>
      </c>
      <c r="J460">
        <v>73.239999999999995</v>
      </c>
      <c r="K460">
        <v>4990.2700000000004</v>
      </c>
      <c r="L460" t="s">
        <v>15</v>
      </c>
      <c r="M460" t="str">
        <f t="shared" si="8"/>
        <v>5 to 6 years</v>
      </c>
    </row>
    <row r="461" spans="1:13">
      <c r="A461" t="s">
        <v>485</v>
      </c>
      <c r="B461" t="s">
        <v>14</v>
      </c>
      <c r="C461" t="s">
        <v>15</v>
      </c>
      <c r="D461" t="s">
        <v>15</v>
      </c>
      <c r="E461" t="s">
        <v>15</v>
      </c>
      <c r="F461">
        <v>17</v>
      </c>
      <c r="G461" t="s">
        <v>17</v>
      </c>
      <c r="H461" t="s">
        <v>34</v>
      </c>
      <c r="I461" t="s">
        <v>36</v>
      </c>
      <c r="J461">
        <v>92.65</v>
      </c>
      <c r="K461">
        <v>1550.05</v>
      </c>
      <c r="L461" t="s">
        <v>15</v>
      </c>
      <c r="M461" t="str">
        <f t="shared" si="8"/>
        <v>1 to 2 years</v>
      </c>
    </row>
    <row r="462" spans="1:13">
      <c r="A462" t="s">
        <v>486</v>
      </c>
      <c r="B462" t="s">
        <v>21</v>
      </c>
      <c r="C462" t="s">
        <v>16</v>
      </c>
      <c r="D462" t="s">
        <v>15</v>
      </c>
      <c r="E462" t="s">
        <v>15</v>
      </c>
      <c r="F462">
        <v>1</v>
      </c>
      <c r="G462" t="s">
        <v>22</v>
      </c>
      <c r="H462" t="s">
        <v>34</v>
      </c>
      <c r="I462" t="s">
        <v>19</v>
      </c>
      <c r="J462">
        <v>72.33</v>
      </c>
      <c r="K462">
        <v>36.164999999999999</v>
      </c>
      <c r="L462" t="s">
        <v>15</v>
      </c>
      <c r="M462" t="str">
        <f t="shared" si="8"/>
        <v>Up to 1 year</v>
      </c>
    </row>
    <row r="463" spans="1:13">
      <c r="A463" t="s">
        <v>487</v>
      </c>
      <c r="B463" t="s">
        <v>14</v>
      </c>
      <c r="C463" t="s">
        <v>15</v>
      </c>
      <c r="D463" t="s">
        <v>16</v>
      </c>
      <c r="E463" t="s">
        <v>15</v>
      </c>
      <c r="F463">
        <v>7</v>
      </c>
      <c r="G463" t="s">
        <v>17</v>
      </c>
      <c r="H463" t="s">
        <v>15</v>
      </c>
      <c r="I463" t="s">
        <v>23</v>
      </c>
      <c r="J463">
        <v>57.56</v>
      </c>
      <c r="K463">
        <v>473.12</v>
      </c>
      <c r="L463" t="s">
        <v>16</v>
      </c>
      <c r="M463" t="str">
        <f t="shared" si="8"/>
        <v>Up to 1 year</v>
      </c>
    </row>
    <row r="464" spans="1:13">
      <c r="A464" t="s">
        <v>488</v>
      </c>
      <c r="B464" t="s">
        <v>21</v>
      </c>
      <c r="C464" t="s">
        <v>15</v>
      </c>
      <c r="D464" t="s">
        <v>15</v>
      </c>
      <c r="E464" t="s">
        <v>15</v>
      </c>
      <c r="F464">
        <v>53</v>
      </c>
      <c r="G464" t="s">
        <v>22</v>
      </c>
      <c r="H464" t="s">
        <v>18</v>
      </c>
      <c r="I464" t="s">
        <v>19</v>
      </c>
      <c r="J464">
        <v>92.91</v>
      </c>
      <c r="K464">
        <v>4904.21</v>
      </c>
      <c r="L464" t="s">
        <v>15</v>
      </c>
      <c r="M464" t="str">
        <f t="shared" si="8"/>
        <v>4 to 5 years</v>
      </c>
    </row>
    <row r="465" spans="1:13">
      <c r="A465" t="s">
        <v>489</v>
      </c>
      <c r="B465" t="s">
        <v>14</v>
      </c>
      <c r="C465" t="s">
        <v>15</v>
      </c>
      <c r="D465" t="s">
        <v>15</v>
      </c>
      <c r="E465" t="s">
        <v>15</v>
      </c>
      <c r="F465">
        <v>37</v>
      </c>
      <c r="G465" t="s">
        <v>22</v>
      </c>
      <c r="H465" t="s">
        <v>18</v>
      </c>
      <c r="I465" t="s">
        <v>23</v>
      </c>
      <c r="J465">
        <v>101.69</v>
      </c>
      <c r="K465">
        <v>3857.47</v>
      </c>
      <c r="L465" t="s">
        <v>16</v>
      </c>
      <c r="M465" t="str">
        <f t="shared" si="8"/>
        <v>3 to 4 years</v>
      </c>
    </row>
    <row r="466" spans="1:13">
      <c r="A466" t="s">
        <v>490</v>
      </c>
      <c r="B466" t="s">
        <v>21</v>
      </c>
      <c r="C466" t="s">
        <v>15</v>
      </c>
      <c r="D466" t="s">
        <v>15</v>
      </c>
      <c r="E466" t="s">
        <v>15</v>
      </c>
      <c r="F466">
        <v>47</v>
      </c>
      <c r="G466" t="s">
        <v>22</v>
      </c>
      <c r="H466" t="s">
        <v>18</v>
      </c>
      <c r="I466" t="s">
        <v>23</v>
      </c>
      <c r="J466">
        <v>55.41</v>
      </c>
      <c r="K466">
        <v>2610.58</v>
      </c>
      <c r="L466" t="s">
        <v>15</v>
      </c>
      <c r="M466" t="str">
        <f t="shared" si="8"/>
        <v>3 to 4 years</v>
      </c>
    </row>
    <row r="467" spans="1:13">
      <c r="A467" t="s">
        <v>491</v>
      </c>
      <c r="B467" t="s">
        <v>14</v>
      </c>
      <c r="C467" t="s">
        <v>15</v>
      </c>
      <c r="D467" t="s">
        <v>15</v>
      </c>
      <c r="E467" t="s">
        <v>16</v>
      </c>
      <c r="F467">
        <v>26</v>
      </c>
      <c r="G467" t="s">
        <v>22</v>
      </c>
      <c r="H467" t="s">
        <v>34</v>
      </c>
      <c r="I467" t="s">
        <v>19</v>
      </c>
      <c r="J467">
        <v>38.69</v>
      </c>
      <c r="K467">
        <v>1148.06</v>
      </c>
      <c r="L467" t="s">
        <v>15</v>
      </c>
      <c r="M467" t="str">
        <f t="shared" si="8"/>
        <v>2 to 3 years</v>
      </c>
    </row>
    <row r="468" spans="1:13">
      <c r="A468" t="s">
        <v>492</v>
      </c>
      <c r="B468" t="s">
        <v>21</v>
      </c>
      <c r="C468" t="s">
        <v>15</v>
      </c>
      <c r="D468" t="s">
        <v>16</v>
      </c>
      <c r="E468" t="s">
        <v>15</v>
      </c>
      <c r="F468">
        <v>19</v>
      </c>
      <c r="G468" t="s">
        <v>22</v>
      </c>
      <c r="H468" t="s">
        <v>34</v>
      </c>
      <c r="I468" t="s">
        <v>26</v>
      </c>
      <c r="J468">
        <v>112.39</v>
      </c>
      <c r="K468">
        <v>2024.41</v>
      </c>
      <c r="L468" t="s">
        <v>15</v>
      </c>
      <c r="M468" t="str">
        <f t="shared" si="8"/>
        <v>1 to 2 years</v>
      </c>
    </row>
    <row r="469" spans="1:13">
      <c r="A469" t="s">
        <v>493</v>
      </c>
      <c r="B469" t="s">
        <v>14</v>
      </c>
      <c r="C469" t="s">
        <v>15</v>
      </c>
      <c r="D469" t="s">
        <v>15</v>
      </c>
      <c r="E469" t="s">
        <v>16</v>
      </c>
      <c r="F469">
        <v>11</v>
      </c>
      <c r="G469" t="s">
        <v>17</v>
      </c>
      <c r="H469" t="s">
        <v>18</v>
      </c>
      <c r="I469" t="s">
        <v>36</v>
      </c>
      <c r="J469">
        <v>97.6</v>
      </c>
      <c r="K469">
        <v>1202.97</v>
      </c>
      <c r="L469" t="s">
        <v>15</v>
      </c>
      <c r="M469" t="str">
        <f t="shared" si="8"/>
        <v>Up to 1 year</v>
      </c>
    </row>
    <row r="470" spans="1:13">
      <c r="A470" t="s">
        <v>494</v>
      </c>
      <c r="B470" t="s">
        <v>14</v>
      </c>
      <c r="C470" t="s">
        <v>15</v>
      </c>
      <c r="D470" t="s">
        <v>16</v>
      </c>
      <c r="E470" t="s">
        <v>15</v>
      </c>
      <c r="F470">
        <v>42</v>
      </c>
      <c r="G470" t="s">
        <v>25</v>
      </c>
      <c r="H470" t="s">
        <v>18</v>
      </c>
      <c r="I470" t="s">
        <v>26</v>
      </c>
      <c r="J470">
        <v>74.52</v>
      </c>
      <c r="K470">
        <v>3096.95</v>
      </c>
      <c r="L470" t="s">
        <v>15</v>
      </c>
      <c r="M470" t="str">
        <f t="shared" si="8"/>
        <v>3 to 4 years</v>
      </c>
    </row>
    <row r="471" spans="1:13">
      <c r="A471" t="s">
        <v>495</v>
      </c>
      <c r="B471" t="s">
        <v>21</v>
      </c>
      <c r="C471" t="s">
        <v>15</v>
      </c>
      <c r="D471" t="s">
        <v>16</v>
      </c>
      <c r="E471" t="s">
        <v>15</v>
      </c>
      <c r="F471">
        <v>60</v>
      </c>
      <c r="G471" t="s">
        <v>25</v>
      </c>
      <c r="H471" t="s">
        <v>15</v>
      </c>
      <c r="I471" t="s">
        <v>23</v>
      </c>
      <c r="J471">
        <v>55.49</v>
      </c>
      <c r="K471">
        <v>3447.32</v>
      </c>
      <c r="L471" t="s">
        <v>15</v>
      </c>
      <c r="M471" t="str">
        <f t="shared" si="8"/>
        <v>4 to 5 years</v>
      </c>
    </row>
    <row r="472" spans="1:13">
      <c r="A472" t="s">
        <v>496</v>
      </c>
      <c r="B472" t="s">
        <v>14</v>
      </c>
      <c r="C472" t="s">
        <v>15</v>
      </c>
      <c r="D472" t="s">
        <v>15</v>
      </c>
      <c r="E472" t="s">
        <v>16</v>
      </c>
      <c r="F472">
        <v>30</v>
      </c>
      <c r="G472" t="s">
        <v>22</v>
      </c>
      <c r="H472" t="s">
        <v>18</v>
      </c>
      <c r="I472" t="s">
        <v>26</v>
      </c>
      <c r="J472">
        <v>70.19</v>
      </c>
      <c r="K472">
        <v>2200.52</v>
      </c>
      <c r="L472" t="s">
        <v>15</v>
      </c>
      <c r="M472" t="str">
        <f t="shared" si="8"/>
        <v>2 to 3 years</v>
      </c>
    </row>
    <row r="473" spans="1:13">
      <c r="A473" t="s">
        <v>497</v>
      </c>
      <c r="B473" t="s">
        <v>21</v>
      </c>
      <c r="C473" t="s">
        <v>15</v>
      </c>
      <c r="D473" t="s">
        <v>16</v>
      </c>
      <c r="E473" t="s">
        <v>15</v>
      </c>
      <c r="F473">
        <v>60</v>
      </c>
      <c r="G473" t="s">
        <v>22</v>
      </c>
      <c r="H473" t="s">
        <v>18</v>
      </c>
      <c r="I473" t="s">
        <v>26</v>
      </c>
      <c r="J473">
        <v>85.28</v>
      </c>
      <c r="K473">
        <v>4888.6499999999996</v>
      </c>
      <c r="L473" t="s">
        <v>15</v>
      </c>
      <c r="M473" t="str">
        <f t="shared" si="8"/>
        <v>4 to 5 years</v>
      </c>
    </row>
    <row r="474" spans="1:13">
      <c r="A474" t="s">
        <v>498</v>
      </c>
      <c r="B474" t="s">
        <v>14</v>
      </c>
      <c r="C474" t="s">
        <v>15</v>
      </c>
      <c r="D474" t="s">
        <v>15</v>
      </c>
      <c r="E474" t="s">
        <v>15</v>
      </c>
      <c r="F474">
        <v>66</v>
      </c>
      <c r="G474" t="s">
        <v>22</v>
      </c>
      <c r="H474" t="s">
        <v>18</v>
      </c>
      <c r="I474" t="s">
        <v>36</v>
      </c>
      <c r="J474">
        <v>55.7</v>
      </c>
      <c r="K474">
        <v>3714.53</v>
      </c>
      <c r="L474" t="s">
        <v>15</v>
      </c>
      <c r="M474" t="str">
        <f t="shared" si="8"/>
        <v>5 to 6 years</v>
      </c>
    </row>
    <row r="475" spans="1:13">
      <c r="A475" t="s">
        <v>499</v>
      </c>
      <c r="B475" t="s">
        <v>21</v>
      </c>
      <c r="C475" t="s">
        <v>15</v>
      </c>
      <c r="D475" t="s">
        <v>15</v>
      </c>
      <c r="E475" t="s">
        <v>15</v>
      </c>
      <c r="F475">
        <v>34</v>
      </c>
      <c r="G475" t="s">
        <v>22</v>
      </c>
      <c r="H475" t="s">
        <v>15</v>
      </c>
      <c r="I475" t="s">
        <v>36</v>
      </c>
      <c r="J475">
        <v>76</v>
      </c>
      <c r="K475">
        <v>2663.81</v>
      </c>
      <c r="L475" t="s">
        <v>15</v>
      </c>
      <c r="M475" t="str">
        <f t="shared" si="8"/>
        <v>2 to 3 years</v>
      </c>
    </row>
    <row r="476" spans="1:13">
      <c r="A476" t="s">
        <v>500</v>
      </c>
      <c r="B476" t="s">
        <v>14</v>
      </c>
      <c r="C476" t="s">
        <v>16</v>
      </c>
      <c r="D476" t="s">
        <v>16</v>
      </c>
      <c r="E476" t="s">
        <v>15</v>
      </c>
      <c r="F476">
        <v>14</v>
      </c>
      <c r="G476" t="s">
        <v>22</v>
      </c>
      <c r="H476" t="s">
        <v>18</v>
      </c>
      <c r="I476" t="s">
        <v>36</v>
      </c>
      <c r="J476">
        <v>84.39</v>
      </c>
      <c r="K476">
        <v>1287.75</v>
      </c>
      <c r="L476" t="s">
        <v>16</v>
      </c>
      <c r="M476" t="str">
        <f t="shared" si="8"/>
        <v>1 to 2 years</v>
      </c>
    </row>
    <row r="477" spans="1:13">
      <c r="A477" t="s">
        <v>501</v>
      </c>
      <c r="B477" t="s">
        <v>21</v>
      </c>
      <c r="C477" t="s">
        <v>15</v>
      </c>
      <c r="D477" t="s">
        <v>16</v>
      </c>
      <c r="E477" t="s">
        <v>15</v>
      </c>
      <c r="F477">
        <v>15</v>
      </c>
      <c r="G477" t="s">
        <v>22</v>
      </c>
      <c r="H477" t="s">
        <v>34</v>
      </c>
      <c r="I477" t="s">
        <v>19</v>
      </c>
      <c r="J477">
        <v>75.290000000000006</v>
      </c>
      <c r="K477">
        <v>1035.22</v>
      </c>
      <c r="L477" t="s">
        <v>15</v>
      </c>
      <c r="M477" t="str">
        <f t="shared" si="8"/>
        <v>1 to 2 years</v>
      </c>
    </row>
    <row r="478" spans="1:13">
      <c r="A478" t="s">
        <v>502</v>
      </c>
      <c r="B478" t="s">
        <v>14</v>
      </c>
      <c r="C478" t="s">
        <v>15</v>
      </c>
      <c r="D478" t="s">
        <v>16</v>
      </c>
      <c r="E478" t="s">
        <v>16</v>
      </c>
      <c r="F478">
        <v>12</v>
      </c>
      <c r="G478" t="s">
        <v>22</v>
      </c>
      <c r="H478" t="s">
        <v>18</v>
      </c>
      <c r="I478" t="s">
        <v>26</v>
      </c>
      <c r="J478">
        <v>57.65</v>
      </c>
      <c r="K478">
        <v>739.03</v>
      </c>
      <c r="L478" t="s">
        <v>15</v>
      </c>
      <c r="M478" t="str">
        <f t="shared" si="8"/>
        <v>Up to 1 year</v>
      </c>
    </row>
    <row r="479" spans="1:13">
      <c r="A479" t="s">
        <v>503</v>
      </c>
      <c r="B479" t="s">
        <v>21</v>
      </c>
      <c r="C479" t="s">
        <v>16</v>
      </c>
      <c r="D479" t="s">
        <v>16</v>
      </c>
      <c r="E479" t="s">
        <v>15</v>
      </c>
      <c r="F479">
        <v>34</v>
      </c>
      <c r="G479" t="s">
        <v>25</v>
      </c>
      <c r="H479" t="s">
        <v>18</v>
      </c>
      <c r="I479" t="s">
        <v>23</v>
      </c>
      <c r="J479">
        <v>93.11</v>
      </c>
      <c r="K479">
        <v>3181.35</v>
      </c>
      <c r="L479" t="s">
        <v>15</v>
      </c>
      <c r="M479" t="str">
        <f t="shared" si="8"/>
        <v>2 to 3 years</v>
      </c>
    </row>
    <row r="480" spans="1:13">
      <c r="A480" t="s">
        <v>504</v>
      </c>
      <c r="B480" t="s">
        <v>14</v>
      </c>
      <c r="C480" t="s">
        <v>15</v>
      </c>
      <c r="D480" t="s">
        <v>15</v>
      </c>
      <c r="E480" t="s">
        <v>16</v>
      </c>
      <c r="F480">
        <v>58</v>
      </c>
      <c r="G480" t="s">
        <v>22</v>
      </c>
      <c r="H480" t="s">
        <v>18</v>
      </c>
      <c r="I480" t="s">
        <v>36</v>
      </c>
      <c r="J480">
        <v>58.23</v>
      </c>
      <c r="K480">
        <v>3411.85</v>
      </c>
      <c r="L480" t="s">
        <v>15</v>
      </c>
      <c r="M480" t="str">
        <f t="shared" si="8"/>
        <v>4 to 5 years</v>
      </c>
    </row>
    <row r="481" spans="1:13">
      <c r="A481" t="s">
        <v>505</v>
      </c>
      <c r="B481" t="s">
        <v>21</v>
      </c>
      <c r="C481" t="s">
        <v>15</v>
      </c>
      <c r="D481" t="s">
        <v>15</v>
      </c>
      <c r="E481" t="s">
        <v>15</v>
      </c>
      <c r="F481">
        <v>20</v>
      </c>
      <c r="G481" t="s">
        <v>22</v>
      </c>
      <c r="H481" t="s">
        <v>34</v>
      </c>
      <c r="I481" t="s">
        <v>23</v>
      </c>
      <c r="J481">
        <v>52.7</v>
      </c>
      <c r="K481">
        <v>1133.9100000000001</v>
      </c>
      <c r="L481" t="s">
        <v>15</v>
      </c>
      <c r="M481" t="str">
        <f t="shared" si="8"/>
        <v>1 to 2 years</v>
      </c>
    </row>
    <row r="482" spans="1:13">
      <c r="A482" t="s">
        <v>506</v>
      </c>
      <c r="B482" t="s">
        <v>21</v>
      </c>
      <c r="C482" t="s">
        <v>15</v>
      </c>
      <c r="D482" t="s">
        <v>15</v>
      </c>
      <c r="E482" t="s">
        <v>16</v>
      </c>
      <c r="F482">
        <v>53</v>
      </c>
      <c r="G482" t="s">
        <v>22</v>
      </c>
      <c r="H482" t="s">
        <v>15</v>
      </c>
      <c r="I482" t="s">
        <v>23</v>
      </c>
      <c r="J482">
        <v>57.19</v>
      </c>
      <c r="K482">
        <v>3123.61</v>
      </c>
      <c r="L482" t="s">
        <v>15</v>
      </c>
      <c r="M482" t="str">
        <f t="shared" si="8"/>
        <v>4 to 5 years</v>
      </c>
    </row>
    <row r="483" spans="1:13">
      <c r="A483" t="s">
        <v>507</v>
      </c>
      <c r="B483" t="s">
        <v>21</v>
      </c>
      <c r="C483" t="s">
        <v>15</v>
      </c>
      <c r="D483" t="s">
        <v>16</v>
      </c>
      <c r="E483" t="s">
        <v>15</v>
      </c>
      <c r="F483">
        <v>29</v>
      </c>
      <c r="G483" t="s">
        <v>22</v>
      </c>
      <c r="H483" t="s">
        <v>15</v>
      </c>
      <c r="I483" t="s">
        <v>23</v>
      </c>
      <c r="J483">
        <v>117.68</v>
      </c>
      <c r="K483">
        <v>3360.26</v>
      </c>
      <c r="L483" t="s">
        <v>15</v>
      </c>
      <c r="M483" t="str">
        <f t="shared" si="8"/>
        <v>2 to 3 years</v>
      </c>
    </row>
    <row r="484" spans="1:13">
      <c r="A484" t="s">
        <v>508</v>
      </c>
      <c r="B484" t="s">
        <v>14</v>
      </c>
      <c r="C484" t="s">
        <v>16</v>
      </c>
      <c r="D484" t="s">
        <v>16</v>
      </c>
      <c r="E484" t="s">
        <v>15</v>
      </c>
      <c r="F484">
        <v>47</v>
      </c>
      <c r="G484" t="s">
        <v>25</v>
      </c>
      <c r="H484" t="s">
        <v>34</v>
      </c>
      <c r="I484" t="s">
        <v>26</v>
      </c>
      <c r="J484">
        <v>74.290000000000006</v>
      </c>
      <c r="K484">
        <v>3512.86</v>
      </c>
      <c r="L484" t="s">
        <v>15</v>
      </c>
      <c r="M484" t="str">
        <f t="shared" si="8"/>
        <v>3 to 4 years</v>
      </c>
    </row>
    <row r="485" spans="1:13">
      <c r="A485" t="s">
        <v>509</v>
      </c>
      <c r="B485" t="s">
        <v>21</v>
      </c>
      <c r="C485" t="s">
        <v>16</v>
      </c>
      <c r="D485" t="s">
        <v>16</v>
      </c>
      <c r="E485" t="s">
        <v>16</v>
      </c>
      <c r="F485">
        <v>34</v>
      </c>
      <c r="G485" t="s">
        <v>22</v>
      </c>
      <c r="H485" t="s">
        <v>15</v>
      </c>
      <c r="I485" t="s">
        <v>19</v>
      </c>
      <c r="J485">
        <v>20</v>
      </c>
      <c r="K485">
        <v>683.29</v>
      </c>
      <c r="L485" t="s">
        <v>15</v>
      </c>
      <c r="M485" t="str">
        <f t="shared" si="8"/>
        <v>2 to 3 years</v>
      </c>
    </row>
    <row r="486" spans="1:13">
      <c r="A486" t="s">
        <v>510</v>
      </c>
      <c r="B486" t="s">
        <v>14</v>
      </c>
      <c r="C486" t="s">
        <v>15</v>
      </c>
      <c r="D486" t="s">
        <v>15</v>
      </c>
      <c r="E486" t="s">
        <v>15</v>
      </c>
      <c r="F486">
        <v>37</v>
      </c>
      <c r="G486" t="s">
        <v>22</v>
      </c>
      <c r="H486" t="s">
        <v>34</v>
      </c>
      <c r="I486" t="s">
        <v>19</v>
      </c>
      <c r="J486">
        <v>53.94</v>
      </c>
      <c r="K486">
        <v>1976.63</v>
      </c>
      <c r="L486" t="s">
        <v>15</v>
      </c>
      <c r="M486" t="str">
        <f t="shared" si="8"/>
        <v>3 to 4 years</v>
      </c>
    </row>
    <row r="487" spans="1:13">
      <c r="A487" t="s">
        <v>511</v>
      </c>
      <c r="B487" t="s">
        <v>21</v>
      </c>
      <c r="C487" t="s">
        <v>15</v>
      </c>
      <c r="D487" t="s">
        <v>16</v>
      </c>
      <c r="E487" t="s">
        <v>15</v>
      </c>
      <c r="F487">
        <v>30</v>
      </c>
      <c r="G487" t="s">
        <v>22</v>
      </c>
      <c r="H487" t="s">
        <v>34</v>
      </c>
      <c r="I487" t="s">
        <v>36</v>
      </c>
      <c r="J487">
        <v>87.09</v>
      </c>
      <c r="K487">
        <v>2601.1999999999998</v>
      </c>
      <c r="L487" t="s">
        <v>15</v>
      </c>
      <c r="M487" t="str">
        <f t="shared" si="8"/>
        <v>2 to 3 years</v>
      </c>
    </row>
    <row r="488" spans="1:13">
      <c r="A488" t="s">
        <v>512</v>
      </c>
      <c r="B488" t="s">
        <v>14</v>
      </c>
      <c r="C488" t="s">
        <v>15</v>
      </c>
      <c r="D488" t="s">
        <v>15</v>
      </c>
      <c r="E488" t="s">
        <v>15</v>
      </c>
      <c r="F488">
        <v>23</v>
      </c>
      <c r="G488" t="s">
        <v>22</v>
      </c>
      <c r="H488" t="s">
        <v>34</v>
      </c>
      <c r="I488" t="s">
        <v>36</v>
      </c>
      <c r="J488">
        <v>41.79</v>
      </c>
      <c r="K488">
        <v>976.85</v>
      </c>
      <c r="L488" t="s">
        <v>15</v>
      </c>
      <c r="M488" t="str">
        <f t="shared" si="8"/>
        <v>1 to 2 years</v>
      </c>
    </row>
    <row r="489" spans="1:13">
      <c r="A489" t="s">
        <v>513</v>
      </c>
      <c r="B489" t="s">
        <v>21</v>
      </c>
      <c r="C489" t="s">
        <v>15</v>
      </c>
      <c r="D489" t="s">
        <v>16</v>
      </c>
      <c r="E489" t="s">
        <v>15</v>
      </c>
      <c r="F489">
        <v>48</v>
      </c>
      <c r="G489" t="s">
        <v>22</v>
      </c>
      <c r="H489" t="s">
        <v>34</v>
      </c>
      <c r="I489" t="s">
        <v>23</v>
      </c>
      <c r="J489">
        <v>90.78</v>
      </c>
      <c r="K489">
        <v>4309.28</v>
      </c>
      <c r="L489" t="s">
        <v>15</v>
      </c>
      <c r="M489" t="str">
        <f t="shared" si="8"/>
        <v>3 to 4 years</v>
      </c>
    </row>
    <row r="490" spans="1:13">
      <c r="A490" t="s">
        <v>514</v>
      </c>
      <c r="B490" t="s">
        <v>14</v>
      </c>
      <c r="C490" t="s">
        <v>15</v>
      </c>
      <c r="D490" t="s">
        <v>15</v>
      </c>
      <c r="E490" t="s">
        <v>15</v>
      </c>
      <c r="F490">
        <v>31</v>
      </c>
      <c r="G490" t="s">
        <v>25</v>
      </c>
      <c r="H490" t="s">
        <v>18</v>
      </c>
      <c r="I490" t="s">
        <v>23</v>
      </c>
      <c r="J490">
        <v>83.97</v>
      </c>
      <c r="K490">
        <v>2673.71</v>
      </c>
      <c r="L490" t="s">
        <v>15</v>
      </c>
      <c r="M490" t="str">
        <f t="shared" si="8"/>
        <v>2 to 3 years</v>
      </c>
    </row>
    <row r="491" spans="1:13">
      <c r="A491" t="s">
        <v>515</v>
      </c>
      <c r="B491" t="s">
        <v>14</v>
      </c>
      <c r="C491" t="s">
        <v>15</v>
      </c>
      <c r="D491" t="s">
        <v>15</v>
      </c>
      <c r="E491" t="s">
        <v>15</v>
      </c>
      <c r="F491">
        <v>54</v>
      </c>
      <c r="G491" t="s">
        <v>25</v>
      </c>
      <c r="H491" t="s">
        <v>34</v>
      </c>
      <c r="I491" t="s">
        <v>36</v>
      </c>
      <c r="J491">
        <v>94.78</v>
      </c>
      <c r="K491">
        <v>5219.66</v>
      </c>
      <c r="L491" t="s">
        <v>15</v>
      </c>
      <c r="M491" t="str">
        <f t="shared" si="8"/>
        <v>4 to 5 years</v>
      </c>
    </row>
    <row r="492" spans="1:13">
      <c r="A492" t="s">
        <v>516</v>
      </c>
      <c r="B492" t="s">
        <v>21</v>
      </c>
      <c r="C492" t="s">
        <v>15</v>
      </c>
      <c r="D492" t="s">
        <v>16</v>
      </c>
      <c r="E492" t="s">
        <v>16</v>
      </c>
      <c r="F492">
        <v>57</v>
      </c>
      <c r="G492" t="s">
        <v>17</v>
      </c>
      <c r="H492" t="s">
        <v>34</v>
      </c>
      <c r="I492" t="s">
        <v>36</v>
      </c>
      <c r="J492">
        <v>56.03</v>
      </c>
      <c r="K492">
        <v>3128.06</v>
      </c>
      <c r="L492" t="s">
        <v>15</v>
      </c>
      <c r="M492" t="str">
        <f t="shared" si="8"/>
        <v>4 to 5 years</v>
      </c>
    </row>
    <row r="493" spans="1:13">
      <c r="A493" t="s">
        <v>517</v>
      </c>
      <c r="B493" t="s">
        <v>14</v>
      </c>
      <c r="C493" t="s">
        <v>15</v>
      </c>
      <c r="D493" t="s">
        <v>16</v>
      </c>
      <c r="E493" t="s">
        <v>16</v>
      </c>
      <c r="F493">
        <v>2</v>
      </c>
      <c r="G493" t="s">
        <v>22</v>
      </c>
      <c r="H493" t="s">
        <v>34</v>
      </c>
      <c r="I493" t="s">
        <v>19</v>
      </c>
      <c r="J493">
        <v>54.08</v>
      </c>
      <c r="K493">
        <v>213.63</v>
      </c>
      <c r="L493" t="s">
        <v>15</v>
      </c>
      <c r="M493" t="str">
        <f t="shared" si="8"/>
        <v>Up to 1 year</v>
      </c>
    </row>
    <row r="494" spans="1:13">
      <c r="A494" t="s">
        <v>518</v>
      </c>
      <c r="B494" t="s">
        <v>14</v>
      </c>
      <c r="C494" t="s">
        <v>15</v>
      </c>
      <c r="D494" t="s">
        <v>15</v>
      </c>
      <c r="E494" t="s">
        <v>15</v>
      </c>
      <c r="F494">
        <v>68</v>
      </c>
      <c r="G494" t="s">
        <v>25</v>
      </c>
      <c r="H494" t="s">
        <v>34</v>
      </c>
      <c r="I494" t="s">
        <v>26</v>
      </c>
      <c r="J494">
        <v>84.12</v>
      </c>
      <c r="K494">
        <v>5654.66</v>
      </c>
      <c r="L494" t="s">
        <v>15</v>
      </c>
      <c r="M494" t="str">
        <f t="shared" si="8"/>
        <v>5 to 6 years</v>
      </c>
    </row>
    <row r="495" spans="1:13">
      <c r="A495" t="s">
        <v>519</v>
      </c>
      <c r="B495" t="s">
        <v>21</v>
      </c>
      <c r="C495" t="s">
        <v>15</v>
      </c>
      <c r="D495" t="s">
        <v>15</v>
      </c>
      <c r="E495" t="s">
        <v>15</v>
      </c>
      <c r="F495">
        <v>9</v>
      </c>
      <c r="G495" t="s">
        <v>22</v>
      </c>
      <c r="H495" t="s">
        <v>34</v>
      </c>
      <c r="I495" t="s">
        <v>23</v>
      </c>
      <c r="J495">
        <v>69.81</v>
      </c>
      <c r="K495">
        <v>700.11</v>
      </c>
      <c r="L495" t="s">
        <v>15</v>
      </c>
      <c r="M495" t="str">
        <f t="shared" si="8"/>
        <v>Up to 1 year</v>
      </c>
    </row>
    <row r="496" spans="1:13">
      <c r="A496" t="s">
        <v>520</v>
      </c>
      <c r="B496" t="s">
        <v>14</v>
      </c>
      <c r="C496" t="s">
        <v>15</v>
      </c>
      <c r="D496" t="s">
        <v>16</v>
      </c>
      <c r="E496" t="s">
        <v>15</v>
      </c>
      <c r="F496">
        <v>24</v>
      </c>
      <c r="G496" t="s">
        <v>22</v>
      </c>
      <c r="H496" t="s">
        <v>18</v>
      </c>
      <c r="I496" t="s">
        <v>36</v>
      </c>
      <c r="J496">
        <v>78.3</v>
      </c>
      <c r="K496">
        <v>1984.52</v>
      </c>
      <c r="L496" t="s">
        <v>15</v>
      </c>
      <c r="M496" t="str">
        <f t="shared" si="8"/>
        <v>1 to 2 years</v>
      </c>
    </row>
    <row r="497" spans="1:13">
      <c r="A497" t="s">
        <v>521</v>
      </c>
      <c r="B497" t="s">
        <v>14</v>
      </c>
      <c r="C497" t="s">
        <v>16</v>
      </c>
      <c r="D497" t="s">
        <v>16</v>
      </c>
      <c r="E497" t="s">
        <v>15</v>
      </c>
      <c r="F497">
        <v>67</v>
      </c>
      <c r="G497" t="s">
        <v>17</v>
      </c>
      <c r="H497" t="s">
        <v>34</v>
      </c>
      <c r="I497" t="s">
        <v>26</v>
      </c>
      <c r="J497">
        <v>109.22</v>
      </c>
      <c r="K497">
        <v>7310.18</v>
      </c>
      <c r="L497" t="s">
        <v>15</v>
      </c>
      <c r="M497" t="str">
        <f t="shared" si="8"/>
        <v>5 to 6 years</v>
      </c>
    </row>
    <row r="498" spans="1:13">
      <c r="A498" t="s">
        <v>522</v>
      </c>
      <c r="B498" t="s">
        <v>14</v>
      </c>
      <c r="C498" t="s">
        <v>15</v>
      </c>
      <c r="D498" t="s">
        <v>15</v>
      </c>
      <c r="E498" t="s">
        <v>15</v>
      </c>
      <c r="F498">
        <v>60</v>
      </c>
      <c r="G498" t="s">
        <v>22</v>
      </c>
      <c r="H498" t="s">
        <v>15</v>
      </c>
      <c r="I498" t="s">
        <v>19</v>
      </c>
      <c r="J498">
        <v>70.099999999999994</v>
      </c>
      <c r="K498">
        <v>4141.16</v>
      </c>
      <c r="L498" t="s">
        <v>15</v>
      </c>
      <c r="M498" t="str">
        <f t="shared" si="8"/>
        <v>4 to 5 years</v>
      </c>
    </row>
    <row r="499" spans="1:13">
      <c r="A499" t="s">
        <v>523</v>
      </c>
      <c r="B499" t="s">
        <v>21</v>
      </c>
      <c r="C499" t="s">
        <v>16</v>
      </c>
      <c r="D499" t="s">
        <v>16</v>
      </c>
      <c r="E499" t="s">
        <v>15</v>
      </c>
      <c r="F499">
        <v>28</v>
      </c>
      <c r="G499" t="s">
        <v>22</v>
      </c>
      <c r="H499" t="s">
        <v>18</v>
      </c>
      <c r="I499" t="s">
        <v>23</v>
      </c>
      <c r="J499">
        <v>30.25</v>
      </c>
      <c r="K499">
        <v>799.91</v>
      </c>
      <c r="L499" t="s">
        <v>15</v>
      </c>
      <c r="M499" t="str">
        <f t="shared" si="8"/>
        <v>2 to 3 years</v>
      </c>
    </row>
    <row r="500" spans="1:13">
      <c r="A500" t="s">
        <v>524</v>
      </c>
      <c r="B500" t="s">
        <v>14</v>
      </c>
      <c r="C500" t="s">
        <v>15</v>
      </c>
      <c r="D500" t="s">
        <v>15</v>
      </c>
      <c r="E500" t="s">
        <v>15</v>
      </c>
      <c r="F500">
        <v>18</v>
      </c>
      <c r="G500" t="s">
        <v>17</v>
      </c>
      <c r="H500" t="s">
        <v>34</v>
      </c>
      <c r="I500" t="s">
        <v>36</v>
      </c>
      <c r="J500">
        <v>89.98</v>
      </c>
      <c r="K500">
        <v>1648.59</v>
      </c>
      <c r="L500" t="s">
        <v>15</v>
      </c>
      <c r="M500" t="str">
        <f t="shared" si="8"/>
        <v>1 to 2 years</v>
      </c>
    </row>
    <row r="501" spans="1:13">
      <c r="A501" t="s">
        <v>525</v>
      </c>
      <c r="B501" t="s">
        <v>21</v>
      </c>
      <c r="C501" t="s">
        <v>15</v>
      </c>
      <c r="D501" t="s">
        <v>15</v>
      </c>
      <c r="E501" t="s">
        <v>15</v>
      </c>
      <c r="F501">
        <v>42</v>
      </c>
      <c r="G501" t="s">
        <v>22</v>
      </c>
      <c r="H501" t="s">
        <v>15</v>
      </c>
      <c r="I501" t="s">
        <v>26</v>
      </c>
      <c r="J501">
        <v>72.47</v>
      </c>
      <c r="K501">
        <v>3200.91</v>
      </c>
      <c r="L501" t="s">
        <v>15</v>
      </c>
      <c r="M501" t="str">
        <f t="shared" si="8"/>
        <v>3 to 4 years</v>
      </c>
    </row>
    <row r="502" spans="1:13">
      <c r="A502" t="s">
        <v>526</v>
      </c>
      <c r="B502" t="s">
        <v>14</v>
      </c>
      <c r="C502" t="s">
        <v>15</v>
      </c>
      <c r="D502" t="s">
        <v>16</v>
      </c>
      <c r="E502" t="s">
        <v>15</v>
      </c>
      <c r="F502">
        <v>65</v>
      </c>
      <c r="G502" t="s">
        <v>17</v>
      </c>
      <c r="H502" t="s">
        <v>34</v>
      </c>
      <c r="I502" t="s">
        <v>23</v>
      </c>
      <c r="J502">
        <v>99.62</v>
      </c>
      <c r="K502">
        <v>6339.88</v>
      </c>
      <c r="L502" t="s">
        <v>15</v>
      </c>
      <c r="M502" t="str">
        <f t="shared" si="8"/>
        <v>5 to 6 years</v>
      </c>
    </row>
    <row r="503" spans="1:13">
      <c r="A503" t="s">
        <v>527</v>
      </c>
      <c r="B503" t="s">
        <v>14</v>
      </c>
      <c r="C503" t="s">
        <v>15</v>
      </c>
      <c r="D503" t="s">
        <v>16</v>
      </c>
      <c r="E503" t="s">
        <v>15</v>
      </c>
      <c r="F503">
        <v>60</v>
      </c>
      <c r="G503" t="s">
        <v>22</v>
      </c>
      <c r="H503" t="s">
        <v>34</v>
      </c>
      <c r="I503" t="s">
        <v>26</v>
      </c>
      <c r="J503">
        <v>46.51</v>
      </c>
      <c r="K503">
        <v>2798.62</v>
      </c>
      <c r="L503" t="s">
        <v>15</v>
      </c>
      <c r="M503" t="str">
        <f t="shared" si="8"/>
        <v>4 to 5 years</v>
      </c>
    </row>
    <row r="504" spans="1:13">
      <c r="A504" t="s">
        <v>528</v>
      </c>
      <c r="B504" t="s">
        <v>14</v>
      </c>
      <c r="C504" t="s">
        <v>15</v>
      </c>
      <c r="D504" t="s">
        <v>16</v>
      </c>
      <c r="E504" t="s">
        <v>15</v>
      </c>
      <c r="F504">
        <v>42</v>
      </c>
      <c r="G504" t="s">
        <v>25</v>
      </c>
      <c r="H504" t="s">
        <v>34</v>
      </c>
      <c r="I504" t="s">
        <v>26</v>
      </c>
      <c r="J504">
        <v>78.12</v>
      </c>
      <c r="K504">
        <v>3273.99</v>
      </c>
      <c r="L504" t="s">
        <v>15</v>
      </c>
      <c r="M504" t="str">
        <f t="shared" si="8"/>
        <v>3 to 4 years</v>
      </c>
    </row>
    <row r="505" spans="1:13">
      <c r="A505" t="s">
        <v>529</v>
      </c>
      <c r="B505" t="s">
        <v>21</v>
      </c>
      <c r="C505" t="s">
        <v>15</v>
      </c>
      <c r="D505" t="s">
        <v>16</v>
      </c>
      <c r="E505" t="s">
        <v>15</v>
      </c>
      <c r="F505">
        <v>24</v>
      </c>
      <c r="G505" t="s">
        <v>25</v>
      </c>
      <c r="H505" t="s">
        <v>34</v>
      </c>
      <c r="I505" t="s">
        <v>19</v>
      </c>
      <c r="J505">
        <v>72.790000000000006</v>
      </c>
      <c r="K505">
        <v>1710.44</v>
      </c>
      <c r="L505" t="s">
        <v>15</v>
      </c>
      <c r="M505" t="str">
        <f t="shared" si="8"/>
        <v>1 to 2 years</v>
      </c>
    </row>
    <row r="506" spans="1:13">
      <c r="A506" t="s">
        <v>530</v>
      </c>
      <c r="B506" t="s">
        <v>14</v>
      </c>
      <c r="C506" t="s">
        <v>15</v>
      </c>
      <c r="D506" t="s">
        <v>16</v>
      </c>
      <c r="E506" t="s">
        <v>16</v>
      </c>
      <c r="F506">
        <v>19</v>
      </c>
      <c r="G506" t="s">
        <v>25</v>
      </c>
      <c r="H506" t="s">
        <v>18</v>
      </c>
      <c r="I506" t="s">
        <v>26</v>
      </c>
      <c r="J506">
        <v>56.06</v>
      </c>
      <c r="K506">
        <v>1058.68</v>
      </c>
      <c r="L506" t="s">
        <v>15</v>
      </c>
      <c r="M506" t="str">
        <f t="shared" si="8"/>
        <v>1 to 2 years</v>
      </c>
    </row>
    <row r="507" spans="1:13">
      <c r="A507" t="s">
        <v>531</v>
      </c>
      <c r="B507" t="s">
        <v>14</v>
      </c>
      <c r="C507" t="s">
        <v>15</v>
      </c>
      <c r="D507" t="s">
        <v>15</v>
      </c>
      <c r="E507" t="s">
        <v>16</v>
      </c>
      <c r="F507">
        <v>47</v>
      </c>
      <c r="G507" t="s">
        <v>22</v>
      </c>
      <c r="H507" t="s">
        <v>18</v>
      </c>
      <c r="I507" t="s">
        <v>26</v>
      </c>
      <c r="J507">
        <v>103.67</v>
      </c>
      <c r="K507">
        <v>4829.1099999999997</v>
      </c>
      <c r="L507" t="s">
        <v>15</v>
      </c>
      <c r="M507" t="str">
        <f t="shared" si="8"/>
        <v>3 to 4 years</v>
      </c>
    </row>
    <row r="508" spans="1:13">
      <c r="A508" t="s">
        <v>532</v>
      </c>
      <c r="B508" t="s">
        <v>21</v>
      </c>
      <c r="C508" t="s">
        <v>15</v>
      </c>
      <c r="D508" t="s">
        <v>15</v>
      </c>
      <c r="E508" t="s">
        <v>15</v>
      </c>
      <c r="F508">
        <v>23</v>
      </c>
      <c r="G508" t="s">
        <v>22</v>
      </c>
      <c r="H508" t="s">
        <v>34</v>
      </c>
      <c r="I508" t="s">
        <v>36</v>
      </c>
      <c r="J508">
        <v>63.96</v>
      </c>
      <c r="K508">
        <v>1570.53</v>
      </c>
      <c r="L508" t="s">
        <v>15</v>
      </c>
      <c r="M508" t="str">
        <f t="shared" si="8"/>
        <v>1 to 2 years</v>
      </c>
    </row>
    <row r="509" spans="1:13">
      <c r="A509" t="s">
        <v>533</v>
      </c>
      <c r="B509" t="s">
        <v>14</v>
      </c>
      <c r="C509" t="s">
        <v>15</v>
      </c>
      <c r="D509" t="s">
        <v>16</v>
      </c>
      <c r="E509" t="s">
        <v>15</v>
      </c>
      <c r="F509">
        <v>10</v>
      </c>
      <c r="G509" t="s">
        <v>22</v>
      </c>
      <c r="H509" t="s">
        <v>18</v>
      </c>
      <c r="I509" t="s">
        <v>23</v>
      </c>
      <c r="J509">
        <v>108.82</v>
      </c>
      <c r="K509">
        <v>1195.5999999999999</v>
      </c>
      <c r="L509" t="s">
        <v>16</v>
      </c>
      <c r="M509" t="str">
        <f t="shared" si="8"/>
        <v>Up to 1 year</v>
      </c>
    </row>
    <row r="510" spans="1:13">
      <c r="A510" t="s">
        <v>534</v>
      </c>
      <c r="B510" t="s">
        <v>21</v>
      </c>
      <c r="C510" t="s">
        <v>15</v>
      </c>
      <c r="D510" t="s">
        <v>16</v>
      </c>
      <c r="E510" t="s">
        <v>15</v>
      </c>
      <c r="F510">
        <v>54</v>
      </c>
      <c r="G510" t="s">
        <v>22</v>
      </c>
      <c r="H510" t="s">
        <v>34</v>
      </c>
      <c r="I510" t="s">
        <v>23</v>
      </c>
      <c r="J510">
        <v>51.43</v>
      </c>
      <c r="K510">
        <v>2784.27</v>
      </c>
      <c r="L510" t="s">
        <v>16</v>
      </c>
      <c r="M510" t="str">
        <f t="shared" si="8"/>
        <v>4 to 5 years</v>
      </c>
    </row>
    <row r="511" spans="1:13">
      <c r="A511" t="s">
        <v>535</v>
      </c>
      <c r="B511" t="s">
        <v>21</v>
      </c>
      <c r="C511" t="s">
        <v>15</v>
      </c>
      <c r="D511" t="s">
        <v>16</v>
      </c>
      <c r="E511" t="s">
        <v>15</v>
      </c>
      <c r="F511">
        <v>27</v>
      </c>
      <c r="G511" t="s">
        <v>22</v>
      </c>
      <c r="H511" t="s">
        <v>18</v>
      </c>
      <c r="I511" t="s">
        <v>23</v>
      </c>
      <c r="J511">
        <v>43.49</v>
      </c>
      <c r="K511">
        <v>1162.94</v>
      </c>
      <c r="L511" t="s">
        <v>15</v>
      </c>
      <c r="M511" t="str">
        <f t="shared" si="8"/>
        <v>2 to 3 years</v>
      </c>
    </row>
    <row r="512" spans="1:13">
      <c r="A512" t="s">
        <v>536</v>
      </c>
      <c r="B512" t="s">
        <v>14</v>
      </c>
      <c r="C512" t="s">
        <v>15</v>
      </c>
      <c r="D512" t="s">
        <v>15</v>
      </c>
      <c r="E512" t="s">
        <v>16</v>
      </c>
      <c r="F512">
        <v>68</v>
      </c>
      <c r="G512" t="s">
        <v>17</v>
      </c>
      <c r="H512" t="s">
        <v>34</v>
      </c>
      <c r="I512" t="s">
        <v>26</v>
      </c>
      <c r="J512">
        <v>63.94</v>
      </c>
      <c r="K512">
        <v>4308.4799999999996</v>
      </c>
      <c r="L512" t="s">
        <v>15</v>
      </c>
      <c r="M512" t="str">
        <f t="shared" si="8"/>
        <v>5 to 6 years</v>
      </c>
    </row>
    <row r="513" spans="1:13">
      <c r="A513" t="s">
        <v>537</v>
      </c>
      <c r="B513" t="s">
        <v>21</v>
      </c>
      <c r="C513" t="s">
        <v>15</v>
      </c>
      <c r="D513" t="s">
        <v>16</v>
      </c>
      <c r="E513" t="s">
        <v>15</v>
      </c>
      <c r="F513">
        <v>62</v>
      </c>
      <c r="G513" t="s">
        <v>22</v>
      </c>
      <c r="H513" t="s">
        <v>34</v>
      </c>
      <c r="I513" t="s">
        <v>26</v>
      </c>
      <c r="J513">
        <v>75.8</v>
      </c>
      <c r="K513">
        <v>4706.82</v>
      </c>
      <c r="L513" t="s">
        <v>15</v>
      </c>
      <c r="M513" t="str">
        <f t="shared" si="8"/>
        <v>5 to 6 years</v>
      </c>
    </row>
    <row r="514" spans="1:13">
      <c r="A514" t="s">
        <v>538</v>
      </c>
      <c r="B514" t="s">
        <v>14</v>
      </c>
      <c r="C514" t="s">
        <v>15</v>
      </c>
      <c r="D514" t="s">
        <v>16</v>
      </c>
      <c r="E514" t="s">
        <v>15</v>
      </c>
      <c r="F514">
        <v>58</v>
      </c>
      <c r="G514" t="s">
        <v>25</v>
      </c>
      <c r="H514" t="s">
        <v>34</v>
      </c>
      <c r="I514" t="s">
        <v>36</v>
      </c>
      <c r="J514">
        <v>56.65</v>
      </c>
      <c r="K514">
        <v>3433.53</v>
      </c>
      <c r="L514" t="s">
        <v>15</v>
      </c>
      <c r="M514" t="str">
        <f t="shared" si="8"/>
        <v>4 to 5 years</v>
      </c>
    </row>
    <row r="515" spans="1:13">
      <c r="A515" t="s">
        <v>539</v>
      </c>
      <c r="B515" t="s">
        <v>21</v>
      </c>
      <c r="C515" t="s">
        <v>16</v>
      </c>
      <c r="D515" t="s">
        <v>15</v>
      </c>
      <c r="E515" t="s">
        <v>15</v>
      </c>
      <c r="F515">
        <v>4</v>
      </c>
      <c r="G515" t="s">
        <v>22</v>
      </c>
      <c r="H515" t="s">
        <v>34</v>
      </c>
      <c r="I515" t="s">
        <v>26</v>
      </c>
      <c r="J515">
        <v>20</v>
      </c>
      <c r="K515">
        <v>71.7</v>
      </c>
      <c r="L515" t="s">
        <v>15</v>
      </c>
      <c r="M515" t="str">
        <f t="shared" ref="M515:M578" si="9">IF(F515=0,"Just signed",IF(F515&lt;=12,"Up to 1 year",IF(F515&lt;=24,"1 to 2 years",IF(F515&lt;=36,"2 to 3 years",IF(F515&lt;=48,"3 to 4 years",IF(F515&lt;=60,"4 to 5 years","5 to 6 years"))))))</f>
        <v>Up to 1 year</v>
      </c>
    </row>
    <row r="516" spans="1:13">
      <c r="A516" t="s">
        <v>540</v>
      </c>
      <c r="B516" t="s">
        <v>21</v>
      </c>
      <c r="C516" t="s">
        <v>15</v>
      </c>
      <c r="D516" t="s">
        <v>15</v>
      </c>
      <c r="E516" t="s">
        <v>15</v>
      </c>
      <c r="F516">
        <v>50</v>
      </c>
      <c r="G516" t="s">
        <v>22</v>
      </c>
      <c r="H516" t="s">
        <v>18</v>
      </c>
      <c r="I516" t="s">
        <v>19</v>
      </c>
      <c r="J516">
        <v>89.59</v>
      </c>
      <c r="K516">
        <v>4412.3500000000004</v>
      </c>
      <c r="L516" t="s">
        <v>15</v>
      </c>
      <c r="M516" t="str">
        <f t="shared" si="9"/>
        <v>4 to 5 years</v>
      </c>
    </row>
    <row r="517" spans="1:13">
      <c r="A517" t="s">
        <v>541</v>
      </c>
      <c r="B517" t="s">
        <v>14</v>
      </c>
      <c r="C517" t="s">
        <v>15</v>
      </c>
      <c r="D517" t="s">
        <v>16</v>
      </c>
      <c r="E517" t="s">
        <v>15</v>
      </c>
      <c r="F517">
        <v>20</v>
      </c>
      <c r="G517" t="s">
        <v>22</v>
      </c>
      <c r="H517" t="s">
        <v>18</v>
      </c>
      <c r="I517" t="s">
        <v>36</v>
      </c>
      <c r="J517">
        <v>89.47</v>
      </c>
      <c r="K517">
        <v>1757.58</v>
      </c>
      <c r="L517" t="s">
        <v>15</v>
      </c>
      <c r="M517" t="str">
        <f t="shared" si="9"/>
        <v>1 to 2 years</v>
      </c>
    </row>
    <row r="518" spans="1:13">
      <c r="A518" t="s">
        <v>542</v>
      </c>
      <c r="B518" t="s">
        <v>21</v>
      </c>
      <c r="C518" t="s">
        <v>15</v>
      </c>
      <c r="D518" t="s">
        <v>16</v>
      </c>
      <c r="E518" t="s">
        <v>16</v>
      </c>
      <c r="F518">
        <v>11</v>
      </c>
      <c r="G518" t="s">
        <v>25</v>
      </c>
      <c r="H518" t="s">
        <v>34</v>
      </c>
      <c r="I518" t="s">
        <v>23</v>
      </c>
      <c r="J518">
        <v>87.18</v>
      </c>
      <c r="K518">
        <v>1019.26</v>
      </c>
      <c r="L518" t="s">
        <v>16</v>
      </c>
      <c r="M518" t="str">
        <f t="shared" si="9"/>
        <v>Up to 1 year</v>
      </c>
    </row>
    <row r="519" spans="1:13">
      <c r="A519" t="s">
        <v>543</v>
      </c>
      <c r="B519" t="s">
        <v>21</v>
      </c>
      <c r="C519" t="s">
        <v>15</v>
      </c>
      <c r="D519" t="s">
        <v>16</v>
      </c>
      <c r="E519" t="s">
        <v>15</v>
      </c>
      <c r="F519">
        <v>49</v>
      </c>
      <c r="G519" t="s">
        <v>17</v>
      </c>
      <c r="H519" t="s">
        <v>18</v>
      </c>
      <c r="I519" t="s">
        <v>36</v>
      </c>
      <c r="J519">
        <v>70.489999999999995</v>
      </c>
      <c r="K519">
        <v>3396.59</v>
      </c>
      <c r="L519" t="s">
        <v>15</v>
      </c>
      <c r="M519" t="str">
        <f t="shared" si="9"/>
        <v>4 to 5 years</v>
      </c>
    </row>
    <row r="520" spans="1:13">
      <c r="A520" t="s">
        <v>544</v>
      </c>
      <c r="B520" t="s">
        <v>21</v>
      </c>
      <c r="C520" t="s">
        <v>15</v>
      </c>
      <c r="D520" t="s">
        <v>15</v>
      </c>
      <c r="E520" t="s">
        <v>15</v>
      </c>
      <c r="F520">
        <v>3</v>
      </c>
      <c r="G520" t="s">
        <v>25</v>
      </c>
      <c r="H520" t="s">
        <v>18</v>
      </c>
      <c r="I520" t="s">
        <v>19</v>
      </c>
      <c r="J520">
        <v>69.12</v>
      </c>
      <c r="K520">
        <v>204.66</v>
      </c>
      <c r="L520" t="s">
        <v>15</v>
      </c>
      <c r="M520" t="str">
        <f t="shared" si="9"/>
        <v>Up to 1 year</v>
      </c>
    </row>
    <row r="521" spans="1:13">
      <c r="A521" t="s">
        <v>545</v>
      </c>
      <c r="B521" t="s">
        <v>21</v>
      </c>
      <c r="C521" t="s">
        <v>16</v>
      </c>
      <c r="D521" t="s">
        <v>16</v>
      </c>
      <c r="E521" t="s">
        <v>15</v>
      </c>
      <c r="F521">
        <v>41</v>
      </c>
      <c r="G521" t="s">
        <v>25</v>
      </c>
      <c r="H521" t="s">
        <v>15</v>
      </c>
      <c r="I521" t="s">
        <v>26</v>
      </c>
      <c r="J521">
        <v>91.01</v>
      </c>
      <c r="K521">
        <v>3769.24</v>
      </c>
      <c r="L521" t="s">
        <v>15</v>
      </c>
      <c r="M521" t="str">
        <f t="shared" si="9"/>
        <v>3 to 4 years</v>
      </c>
    </row>
    <row r="522" spans="1:13">
      <c r="A522" t="s">
        <v>546</v>
      </c>
      <c r="B522" t="s">
        <v>21</v>
      </c>
      <c r="C522" t="s">
        <v>15</v>
      </c>
      <c r="D522" t="s">
        <v>16</v>
      </c>
      <c r="E522" t="s">
        <v>15</v>
      </c>
      <c r="F522">
        <v>37</v>
      </c>
      <c r="G522" t="s">
        <v>22</v>
      </c>
      <c r="H522" t="s">
        <v>34</v>
      </c>
      <c r="I522" t="s">
        <v>26</v>
      </c>
      <c r="J522">
        <v>30.61</v>
      </c>
      <c r="K522">
        <v>1081.22</v>
      </c>
      <c r="L522" t="s">
        <v>16</v>
      </c>
      <c r="M522" t="str">
        <f t="shared" si="9"/>
        <v>3 to 4 years</v>
      </c>
    </row>
    <row r="523" spans="1:13">
      <c r="A523" t="s">
        <v>547</v>
      </c>
      <c r="B523" t="s">
        <v>14</v>
      </c>
      <c r="C523" t="s">
        <v>15</v>
      </c>
      <c r="D523" t="s">
        <v>16</v>
      </c>
      <c r="E523" t="s">
        <v>16</v>
      </c>
      <c r="F523">
        <v>24</v>
      </c>
      <c r="G523" t="s">
        <v>22</v>
      </c>
      <c r="H523" t="s">
        <v>18</v>
      </c>
      <c r="I523" t="s">
        <v>26</v>
      </c>
      <c r="J523">
        <v>73.819999999999993</v>
      </c>
      <c r="K523">
        <v>1630.53</v>
      </c>
      <c r="L523" t="s">
        <v>16</v>
      </c>
      <c r="M523" t="str">
        <f t="shared" si="9"/>
        <v>1 to 2 years</v>
      </c>
    </row>
    <row r="524" spans="1:13">
      <c r="A524" t="s">
        <v>548</v>
      </c>
      <c r="B524" t="s">
        <v>21</v>
      </c>
      <c r="C524" t="s">
        <v>15</v>
      </c>
      <c r="D524" t="s">
        <v>15</v>
      </c>
      <c r="E524" t="s">
        <v>16</v>
      </c>
      <c r="F524">
        <v>13</v>
      </c>
      <c r="G524" t="s">
        <v>22</v>
      </c>
      <c r="H524" t="s">
        <v>15</v>
      </c>
      <c r="I524" t="s">
        <v>23</v>
      </c>
      <c r="J524">
        <v>58.56</v>
      </c>
      <c r="K524">
        <v>675.57</v>
      </c>
      <c r="L524" t="s">
        <v>15</v>
      </c>
      <c r="M524" t="str">
        <f t="shared" si="9"/>
        <v>1 to 2 years</v>
      </c>
    </row>
    <row r="525" spans="1:13">
      <c r="A525" t="s">
        <v>549</v>
      </c>
      <c r="B525" t="s">
        <v>14</v>
      </c>
      <c r="C525" t="s">
        <v>15</v>
      </c>
      <c r="D525" t="s">
        <v>15</v>
      </c>
      <c r="E525" t="s">
        <v>15</v>
      </c>
      <c r="F525">
        <v>31</v>
      </c>
      <c r="G525" t="s">
        <v>17</v>
      </c>
      <c r="H525" t="s">
        <v>18</v>
      </c>
      <c r="I525" t="s">
        <v>19</v>
      </c>
      <c r="J525">
        <v>95.15</v>
      </c>
      <c r="K525">
        <v>2880.95</v>
      </c>
      <c r="L525" t="s">
        <v>16</v>
      </c>
      <c r="M525" t="str">
        <f t="shared" si="9"/>
        <v>2 to 3 years</v>
      </c>
    </row>
    <row r="526" spans="1:13">
      <c r="A526" t="s">
        <v>550</v>
      </c>
      <c r="B526" t="s">
        <v>21</v>
      </c>
      <c r="C526" t="s">
        <v>15</v>
      </c>
      <c r="D526" t="s">
        <v>16</v>
      </c>
      <c r="E526" t="s">
        <v>15</v>
      </c>
      <c r="F526">
        <v>10</v>
      </c>
      <c r="G526" t="s">
        <v>22</v>
      </c>
      <c r="H526" t="s">
        <v>18</v>
      </c>
      <c r="I526" t="s">
        <v>19</v>
      </c>
      <c r="J526">
        <v>84.24</v>
      </c>
      <c r="K526">
        <v>824.09</v>
      </c>
      <c r="L526" t="s">
        <v>16</v>
      </c>
      <c r="M526" t="str">
        <f t="shared" si="9"/>
        <v>Up to 1 year</v>
      </c>
    </row>
    <row r="527" spans="1:13">
      <c r="A527" t="s">
        <v>551</v>
      </c>
      <c r="B527" t="s">
        <v>14</v>
      </c>
      <c r="C527" t="s">
        <v>15</v>
      </c>
      <c r="D527" t="s">
        <v>16</v>
      </c>
      <c r="E527" t="s">
        <v>16</v>
      </c>
      <c r="F527">
        <v>60</v>
      </c>
      <c r="G527" t="s">
        <v>22</v>
      </c>
      <c r="H527" t="s">
        <v>34</v>
      </c>
      <c r="I527" t="s">
        <v>36</v>
      </c>
      <c r="J527">
        <v>46.95</v>
      </c>
      <c r="K527">
        <v>2820.54</v>
      </c>
      <c r="L527" t="s">
        <v>15</v>
      </c>
      <c r="M527" t="str">
        <f t="shared" si="9"/>
        <v>4 to 5 years</v>
      </c>
    </row>
    <row r="528" spans="1:13">
      <c r="A528" t="s">
        <v>552</v>
      </c>
      <c r="B528" t="s">
        <v>14</v>
      </c>
      <c r="C528" t="s">
        <v>15</v>
      </c>
      <c r="D528" t="s">
        <v>15</v>
      </c>
      <c r="E528" t="s">
        <v>16</v>
      </c>
      <c r="F528">
        <v>17</v>
      </c>
      <c r="G528" t="s">
        <v>25</v>
      </c>
      <c r="H528" t="s">
        <v>34</v>
      </c>
      <c r="I528" t="s">
        <v>19</v>
      </c>
      <c r="J528">
        <v>99.19</v>
      </c>
      <c r="K528">
        <v>1752.13</v>
      </c>
      <c r="L528" t="s">
        <v>15</v>
      </c>
      <c r="M528" t="str">
        <f t="shared" si="9"/>
        <v>1 to 2 years</v>
      </c>
    </row>
    <row r="529" spans="1:13">
      <c r="A529" t="s">
        <v>553</v>
      </c>
      <c r="B529" t="s">
        <v>21</v>
      </c>
      <c r="C529" t="s">
        <v>15</v>
      </c>
      <c r="D529" t="s">
        <v>15</v>
      </c>
      <c r="E529" t="s">
        <v>15</v>
      </c>
      <c r="F529">
        <v>26</v>
      </c>
      <c r="G529" t="s">
        <v>25</v>
      </c>
      <c r="H529" t="s">
        <v>18</v>
      </c>
      <c r="I529" t="s">
        <v>36</v>
      </c>
      <c r="J529">
        <v>80.05</v>
      </c>
      <c r="K529">
        <v>1983.12</v>
      </c>
      <c r="L529" t="s">
        <v>15</v>
      </c>
      <c r="M529" t="str">
        <f t="shared" si="9"/>
        <v>2 to 3 years</v>
      </c>
    </row>
    <row r="530" spans="1:13">
      <c r="A530" t="s">
        <v>554</v>
      </c>
      <c r="B530" t="s">
        <v>21</v>
      </c>
      <c r="C530" t="s">
        <v>15</v>
      </c>
      <c r="D530" t="s">
        <v>15</v>
      </c>
      <c r="E530" t="s">
        <v>16</v>
      </c>
      <c r="F530">
        <v>54</v>
      </c>
      <c r="G530" t="s">
        <v>17</v>
      </c>
      <c r="H530" t="s">
        <v>18</v>
      </c>
      <c r="I530" t="s">
        <v>19</v>
      </c>
      <c r="J530">
        <v>38.299999999999997</v>
      </c>
      <c r="K530">
        <v>2122.46</v>
      </c>
      <c r="L530" t="s">
        <v>16</v>
      </c>
      <c r="M530" t="str">
        <f t="shared" si="9"/>
        <v>4 to 5 years</v>
      </c>
    </row>
    <row r="531" spans="1:13">
      <c r="A531" t="s">
        <v>555</v>
      </c>
      <c r="B531" t="s">
        <v>21</v>
      </c>
      <c r="C531" t="s">
        <v>15</v>
      </c>
      <c r="D531" t="s">
        <v>15</v>
      </c>
      <c r="E531" t="s">
        <v>15</v>
      </c>
      <c r="F531">
        <v>53</v>
      </c>
      <c r="G531" t="s">
        <v>17</v>
      </c>
      <c r="H531" t="s">
        <v>34</v>
      </c>
      <c r="I531" t="s">
        <v>19</v>
      </c>
      <c r="J531">
        <v>75.23</v>
      </c>
      <c r="K531">
        <v>3957.52</v>
      </c>
      <c r="L531" t="s">
        <v>15</v>
      </c>
      <c r="M531" t="str">
        <f t="shared" si="9"/>
        <v>4 to 5 years</v>
      </c>
    </row>
    <row r="532" spans="1:13">
      <c r="A532" t="s">
        <v>556</v>
      </c>
      <c r="B532" t="s">
        <v>14</v>
      </c>
      <c r="C532" t="s">
        <v>16</v>
      </c>
      <c r="D532" t="s">
        <v>15</v>
      </c>
      <c r="E532" t="s">
        <v>15</v>
      </c>
      <c r="F532">
        <v>20</v>
      </c>
      <c r="G532" t="s">
        <v>17</v>
      </c>
      <c r="H532" t="s">
        <v>18</v>
      </c>
      <c r="I532" t="s">
        <v>36</v>
      </c>
      <c r="J532">
        <v>91.88</v>
      </c>
      <c r="K532">
        <v>1694.76</v>
      </c>
      <c r="L532" t="s">
        <v>15</v>
      </c>
      <c r="M532" t="str">
        <f t="shared" si="9"/>
        <v>1 to 2 years</v>
      </c>
    </row>
    <row r="533" spans="1:13">
      <c r="A533" t="s">
        <v>557</v>
      </c>
      <c r="B533" t="s">
        <v>21</v>
      </c>
      <c r="C533" t="s">
        <v>15</v>
      </c>
      <c r="D533" t="s">
        <v>15</v>
      </c>
      <c r="E533" t="s">
        <v>15</v>
      </c>
      <c r="F533">
        <v>43</v>
      </c>
      <c r="G533" t="s">
        <v>22</v>
      </c>
      <c r="H533" t="s">
        <v>18</v>
      </c>
      <c r="I533" t="s">
        <v>26</v>
      </c>
      <c r="J533">
        <v>129.02000000000001</v>
      </c>
      <c r="K533">
        <v>5548.95</v>
      </c>
      <c r="L533" t="s">
        <v>15</v>
      </c>
      <c r="M533" t="str">
        <f t="shared" si="9"/>
        <v>3 to 4 years</v>
      </c>
    </row>
    <row r="534" spans="1:13">
      <c r="A534" t="s">
        <v>558</v>
      </c>
      <c r="B534" t="s">
        <v>14</v>
      </c>
      <c r="C534" t="s">
        <v>15</v>
      </c>
      <c r="D534" t="s">
        <v>15</v>
      </c>
      <c r="E534" t="s">
        <v>16</v>
      </c>
      <c r="F534">
        <v>4</v>
      </c>
      <c r="G534" t="s">
        <v>22</v>
      </c>
      <c r="H534" t="s">
        <v>18</v>
      </c>
      <c r="I534" t="s">
        <v>36</v>
      </c>
      <c r="J534">
        <v>90.22</v>
      </c>
      <c r="K534">
        <v>466.18</v>
      </c>
      <c r="L534" t="s">
        <v>16</v>
      </c>
      <c r="M534" t="str">
        <f t="shared" si="9"/>
        <v>Up to 1 year</v>
      </c>
    </row>
    <row r="535" spans="1:13">
      <c r="A535" t="s">
        <v>559</v>
      </c>
      <c r="B535" t="s">
        <v>14</v>
      </c>
      <c r="C535" t="s">
        <v>16</v>
      </c>
      <c r="D535" t="s">
        <v>15</v>
      </c>
      <c r="E535" t="s">
        <v>16</v>
      </c>
      <c r="F535">
        <v>40</v>
      </c>
      <c r="G535" t="s">
        <v>17</v>
      </c>
      <c r="H535" t="s">
        <v>18</v>
      </c>
      <c r="I535" t="s">
        <v>26</v>
      </c>
      <c r="J535">
        <v>42.95</v>
      </c>
      <c r="K535">
        <v>1788.65</v>
      </c>
      <c r="L535" t="s">
        <v>15</v>
      </c>
      <c r="M535" t="str">
        <f t="shared" si="9"/>
        <v>3 to 4 years</v>
      </c>
    </row>
    <row r="536" spans="1:13">
      <c r="A536" t="s">
        <v>560</v>
      </c>
      <c r="B536" t="s">
        <v>14</v>
      </c>
      <c r="C536" t="s">
        <v>16</v>
      </c>
      <c r="D536" t="s">
        <v>15</v>
      </c>
      <c r="E536" t="s">
        <v>15</v>
      </c>
      <c r="F536">
        <v>58</v>
      </c>
      <c r="G536" t="s">
        <v>17</v>
      </c>
      <c r="H536" t="s">
        <v>18</v>
      </c>
      <c r="I536" t="s">
        <v>19</v>
      </c>
      <c r="J536">
        <v>43.83</v>
      </c>
      <c r="K536">
        <v>2536.04</v>
      </c>
      <c r="L536" t="s">
        <v>15</v>
      </c>
      <c r="M536" t="str">
        <f t="shared" si="9"/>
        <v>4 to 5 years</v>
      </c>
    </row>
    <row r="537" spans="1:13">
      <c r="A537" t="s">
        <v>561</v>
      </c>
      <c r="B537" t="s">
        <v>21</v>
      </c>
      <c r="C537" t="s">
        <v>15</v>
      </c>
      <c r="D537" t="s">
        <v>16</v>
      </c>
      <c r="E537" t="s">
        <v>15</v>
      </c>
      <c r="F537">
        <v>53</v>
      </c>
      <c r="G537" t="s">
        <v>22</v>
      </c>
      <c r="H537" t="s">
        <v>34</v>
      </c>
      <c r="I537" t="s">
        <v>23</v>
      </c>
      <c r="J537">
        <v>101.47</v>
      </c>
      <c r="K537">
        <v>5467.97</v>
      </c>
      <c r="L537" t="s">
        <v>15</v>
      </c>
      <c r="M537" t="str">
        <f t="shared" si="9"/>
        <v>4 to 5 years</v>
      </c>
    </row>
    <row r="538" spans="1:13">
      <c r="A538" t="s">
        <v>562</v>
      </c>
      <c r="B538" t="s">
        <v>21</v>
      </c>
      <c r="C538" t="s">
        <v>15</v>
      </c>
      <c r="D538" t="s">
        <v>16</v>
      </c>
      <c r="E538" t="s">
        <v>15</v>
      </c>
      <c r="F538">
        <v>21</v>
      </c>
      <c r="G538" t="s">
        <v>25</v>
      </c>
      <c r="H538" t="s">
        <v>15</v>
      </c>
      <c r="I538" t="s">
        <v>19</v>
      </c>
      <c r="J538">
        <v>34.93</v>
      </c>
      <c r="K538">
        <v>748.91</v>
      </c>
      <c r="L538" t="s">
        <v>15</v>
      </c>
      <c r="M538" t="str">
        <f t="shared" si="9"/>
        <v>1 to 2 years</v>
      </c>
    </row>
    <row r="539" spans="1:13">
      <c r="A539" t="s">
        <v>563</v>
      </c>
      <c r="B539" t="s">
        <v>14</v>
      </c>
      <c r="C539" t="s">
        <v>15</v>
      </c>
      <c r="D539" t="s">
        <v>16</v>
      </c>
      <c r="E539" t="s">
        <v>16</v>
      </c>
      <c r="F539">
        <v>64</v>
      </c>
      <c r="G539" t="s">
        <v>22</v>
      </c>
      <c r="H539" t="s">
        <v>34</v>
      </c>
      <c r="I539" t="s">
        <v>23</v>
      </c>
      <c r="J539">
        <v>31.26</v>
      </c>
      <c r="K539">
        <v>2079.14</v>
      </c>
      <c r="L539" t="s">
        <v>15</v>
      </c>
      <c r="M539" t="str">
        <f t="shared" si="9"/>
        <v>5 to 6 years</v>
      </c>
    </row>
    <row r="540" spans="1:13">
      <c r="A540" t="s">
        <v>564</v>
      </c>
      <c r="B540" t="s">
        <v>14</v>
      </c>
      <c r="C540" t="s">
        <v>16</v>
      </c>
      <c r="D540" t="s">
        <v>15</v>
      </c>
      <c r="E540" t="s">
        <v>15</v>
      </c>
      <c r="F540">
        <v>63</v>
      </c>
      <c r="G540" t="s">
        <v>22</v>
      </c>
      <c r="H540" t="s">
        <v>34</v>
      </c>
      <c r="I540" t="s">
        <v>26</v>
      </c>
      <c r="J540">
        <v>95.01</v>
      </c>
      <c r="K540">
        <v>5852.7</v>
      </c>
      <c r="L540" t="s">
        <v>15</v>
      </c>
      <c r="M540" t="str">
        <f t="shared" si="9"/>
        <v>5 to 6 years</v>
      </c>
    </row>
    <row r="541" spans="1:13">
      <c r="A541" t="s">
        <v>565</v>
      </c>
      <c r="B541" t="s">
        <v>21</v>
      </c>
      <c r="C541" t="s">
        <v>15</v>
      </c>
      <c r="D541" t="s">
        <v>16</v>
      </c>
      <c r="E541" t="s">
        <v>15</v>
      </c>
      <c r="F541">
        <v>70</v>
      </c>
      <c r="G541" t="s">
        <v>17</v>
      </c>
      <c r="H541" t="s">
        <v>34</v>
      </c>
      <c r="I541" t="s">
        <v>23</v>
      </c>
      <c r="J541">
        <v>58.11</v>
      </c>
      <c r="K541">
        <v>3967.73</v>
      </c>
      <c r="L541" t="s">
        <v>15</v>
      </c>
      <c r="M541" t="str">
        <f t="shared" si="9"/>
        <v>5 to 6 years</v>
      </c>
    </row>
    <row r="542" spans="1:13">
      <c r="A542" t="s">
        <v>566</v>
      </c>
      <c r="B542" t="s">
        <v>14</v>
      </c>
      <c r="C542" t="s">
        <v>15</v>
      </c>
      <c r="D542" t="s">
        <v>15</v>
      </c>
      <c r="E542" t="s">
        <v>15</v>
      </c>
      <c r="F542">
        <v>3</v>
      </c>
      <c r="G542" t="s">
        <v>22</v>
      </c>
      <c r="H542" t="s">
        <v>34</v>
      </c>
      <c r="I542" t="s">
        <v>23</v>
      </c>
      <c r="J542">
        <v>93.68</v>
      </c>
      <c r="K542">
        <v>339.36</v>
      </c>
      <c r="L542" t="s">
        <v>16</v>
      </c>
      <c r="M542" t="str">
        <f t="shared" si="9"/>
        <v>Up to 1 year</v>
      </c>
    </row>
    <row r="543" spans="1:13">
      <c r="A543" t="s">
        <v>567</v>
      </c>
      <c r="B543" t="s">
        <v>21</v>
      </c>
      <c r="C543" t="s">
        <v>15</v>
      </c>
      <c r="D543" t="s">
        <v>15</v>
      </c>
      <c r="E543" t="s">
        <v>15</v>
      </c>
      <c r="F543">
        <v>64</v>
      </c>
      <c r="G543" t="s">
        <v>22</v>
      </c>
      <c r="H543" t="s">
        <v>34</v>
      </c>
      <c r="I543" t="s">
        <v>23</v>
      </c>
      <c r="J543">
        <v>47.13</v>
      </c>
      <c r="K543">
        <v>3139.46</v>
      </c>
      <c r="L543" t="s">
        <v>15</v>
      </c>
      <c r="M543" t="str">
        <f t="shared" si="9"/>
        <v>5 to 6 years</v>
      </c>
    </row>
    <row r="544" spans="1:13">
      <c r="A544" t="s">
        <v>568</v>
      </c>
      <c r="B544" t="s">
        <v>14</v>
      </c>
      <c r="C544" t="s">
        <v>15</v>
      </c>
      <c r="D544" t="s">
        <v>16</v>
      </c>
      <c r="E544" t="s">
        <v>15</v>
      </c>
      <c r="F544">
        <v>14</v>
      </c>
      <c r="G544" t="s">
        <v>22</v>
      </c>
      <c r="H544" t="s">
        <v>34</v>
      </c>
      <c r="I544" t="s">
        <v>23</v>
      </c>
      <c r="J544">
        <v>106.85</v>
      </c>
      <c r="K544">
        <v>1529.28</v>
      </c>
      <c r="L544" t="s">
        <v>16</v>
      </c>
      <c r="M544" t="str">
        <f t="shared" si="9"/>
        <v>1 to 2 years</v>
      </c>
    </row>
    <row r="545" spans="1:13">
      <c r="A545" t="s">
        <v>569</v>
      </c>
      <c r="B545" t="s">
        <v>21</v>
      </c>
      <c r="C545" t="s">
        <v>15</v>
      </c>
      <c r="D545" t="s">
        <v>15</v>
      </c>
      <c r="E545" t="s">
        <v>15</v>
      </c>
      <c r="F545">
        <v>21</v>
      </c>
      <c r="G545" t="s">
        <v>17</v>
      </c>
      <c r="H545" t="s">
        <v>18</v>
      </c>
      <c r="I545" t="s">
        <v>23</v>
      </c>
      <c r="J545">
        <v>101.8</v>
      </c>
      <c r="K545">
        <v>2098.0100000000002</v>
      </c>
      <c r="L545" t="s">
        <v>15</v>
      </c>
      <c r="M545" t="str">
        <f t="shared" si="9"/>
        <v>1 to 2 years</v>
      </c>
    </row>
    <row r="546" spans="1:13">
      <c r="A546" t="s">
        <v>570</v>
      </c>
      <c r="B546" t="s">
        <v>14</v>
      </c>
      <c r="C546" t="s">
        <v>15</v>
      </c>
      <c r="D546" t="s">
        <v>16</v>
      </c>
      <c r="E546" t="s">
        <v>16</v>
      </c>
      <c r="F546">
        <v>46</v>
      </c>
      <c r="G546" t="s">
        <v>22</v>
      </c>
      <c r="H546" t="s">
        <v>34</v>
      </c>
      <c r="I546" t="s">
        <v>36</v>
      </c>
      <c r="J546">
        <v>51.93</v>
      </c>
      <c r="K546">
        <v>2320.7399999999998</v>
      </c>
      <c r="L546" t="s">
        <v>15</v>
      </c>
      <c r="M546" t="str">
        <f t="shared" si="9"/>
        <v>3 to 4 years</v>
      </c>
    </row>
    <row r="547" spans="1:13">
      <c r="A547" t="s">
        <v>571</v>
      </c>
      <c r="B547" t="s">
        <v>21</v>
      </c>
      <c r="C547" t="s">
        <v>15</v>
      </c>
      <c r="D547" t="s">
        <v>16</v>
      </c>
      <c r="E547" t="s">
        <v>15</v>
      </c>
      <c r="F547">
        <v>45</v>
      </c>
      <c r="G547" t="s">
        <v>17</v>
      </c>
      <c r="H547" t="s">
        <v>18</v>
      </c>
      <c r="I547" t="s">
        <v>26</v>
      </c>
      <c r="J547">
        <v>38.49</v>
      </c>
      <c r="K547">
        <v>1706.82</v>
      </c>
      <c r="L547" t="s">
        <v>16</v>
      </c>
      <c r="M547" t="str">
        <f t="shared" si="9"/>
        <v>3 to 4 years</v>
      </c>
    </row>
    <row r="548" spans="1:13">
      <c r="A548" t="s">
        <v>572</v>
      </c>
      <c r="B548" t="s">
        <v>14</v>
      </c>
      <c r="C548" t="s">
        <v>15</v>
      </c>
      <c r="D548" t="s">
        <v>16</v>
      </c>
      <c r="E548" t="s">
        <v>16</v>
      </c>
      <c r="F548">
        <v>13</v>
      </c>
      <c r="G548" t="s">
        <v>17</v>
      </c>
      <c r="H548" t="s">
        <v>34</v>
      </c>
      <c r="I548" t="s">
        <v>26</v>
      </c>
      <c r="J548">
        <v>127.63</v>
      </c>
      <c r="K548">
        <v>1756.28</v>
      </c>
      <c r="L548" t="s">
        <v>15</v>
      </c>
      <c r="M548" t="str">
        <f t="shared" si="9"/>
        <v>1 to 2 years</v>
      </c>
    </row>
    <row r="549" spans="1:13">
      <c r="A549" t="s">
        <v>573</v>
      </c>
      <c r="B549" t="s">
        <v>21</v>
      </c>
      <c r="C549" t="s">
        <v>16</v>
      </c>
      <c r="D549" t="s">
        <v>15</v>
      </c>
      <c r="E549" t="s">
        <v>15</v>
      </c>
      <c r="F549">
        <v>49</v>
      </c>
      <c r="G549" t="s">
        <v>22</v>
      </c>
      <c r="H549" t="s">
        <v>15</v>
      </c>
      <c r="I549" t="s">
        <v>36</v>
      </c>
      <c r="J549">
        <v>49.74</v>
      </c>
      <c r="K549">
        <v>2409.86</v>
      </c>
      <c r="L549" t="s">
        <v>16</v>
      </c>
      <c r="M549" t="str">
        <f t="shared" si="9"/>
        <v>4 to 5 years</v>
      </c>
    </row>
    <row r="550" spans="1:13">
      <c r="A550" t="s">
        <v>574</v>
      </c>
      <c r="B550" t="s">
        <v>21</v>
      </c>
      <c r="C550" t="s">
        <v>15</v>
      </c>
      <c r="D550" t="s">
        <v>16</v>
      </c>
      <c r="E550" t="s">
        <v>15</v>
      </c>
      <c r="F550">
        <v>19</v>
      </c>
      <c r="G550" t="s">
        <v>25</v>
      </c>
      <c r="H550" t="s">
        <v>18</v>
      </c>
      <c r="I550" t="s">
        <v>23</v>
      </c>
      <c r="J550">
        <v>60.93</v>
      </c>
      <c r="K550">
        <v>1241.49</v>
      </c>
      <c r="L550" t="s">
        <v>15</v>
      </c>
      <c r="M550" t="str">
        <f t="shared" si="9"/>
        <v>1 to 2 years</v>
      </c>
    </row>
    <row r="551" spans="1:13">
      <c r="A551" t="s">
        <v>575</v>
      </c>
      <c r="B551" t="s">
        <v>14</v>
      </c>
      <c r="C551" t="s">
        <v>16</v>
      </c>
      <c r="D551" t="s">
        <v>15</v>
      </c>
      <c r="E551" t="s">
        <v>16</v>
      </c>
      <c r="F551">
        <v>49</v>
      </c>
      <c r="G551" t="s">
        <v>22</v>
      </c>
      <c r="H551" t="s">
        <v>34</v>
      </c>
      <c r="I551" t="s">
        <v>36</v>
      </c>
      <c r="J551">
        <v>104.66</v>
      </c>
      <c r="K551">
        <v>5180.55</v>
      </c>
      <c r="L551" t="s">
        <v>16</v>
      </c>
      <c r="M551" t="str">
        <f t="shared" si="9"/>
        <v>4 to 5 years</v>
      </c>
    </row>
    <row r="552" spans="1:13">
      <c r="A552" t="s">
        <v>576</v>
      </c>
      <c r="B552" t="s">
        <v>14</v>
      </c>
      <c r="C552" t="s">
        <v>15</v>
      </c>
      <c r="D552" t="s">
        <v>16</v>
      </c>
      <c r="E552" t="s">
        <v>15</v>
      </c>
      <c r="F552">
        <v>32</v>
      </c>
      <c r="G552" t="s">
        <v>25</v>
      </c>
      <c r="H552" t="s">
        <v>18</v>
      </c>
      <c r="I552" t="s">
        <v>23</v>
      </c>
      <c r="J552">
        <v>103.64</v>
      </c>
      <c r="K552">
        <v>3453.59</v>
      </c>
      <c r="L552" t="s">
        <v>15</v>
      </c>
      <c r="M552" t="str">
        <f t="shared" si="9"/>
        <v>2 to 3 years</v>
      </c>
    </row>
    <row r="553" spans="1:13">
      <c r="A553" t="s">
        <v>577</v>
      </c>
      <c r="B553" t="s">
        <v>21</v>
      </c>
      <c r="C553" t="s">
        <v>15</v>
      </c>
      <c r="D553" t="s">
        <v>16</v>
      </c>
      <c r="E553" t="s">
        <v>16</v>
      </c>
      <c r="F553">
        <v>58</v>
      </c>
      <c r="G553" t="s">
        <v>22</v>
      </c>
      <c r="H553" t="s">
        <v>18</v>
      </c>
      <c r="I553" t="s">
        <v>23</v>
      </c>
      <c r="J553">
        <v>109.57</v>
      </c>
      <c r="K553">
        <v>6371.08</v>
      </c>
      <c r="L553" t="s">
        <v>16</v>
      </c>
      <c r="M553" t="str">
        <f t="shared" si="9"/>
        <v>4 to 5 years</v>
      </c>
    </row>
    <row r="554" spans="1:13">
      <c r="A554" t="s">
        <v>578</v>
      </c>
      <c r="B554" t="s">
        <v>14</v>
      </c>
      <c r="C554" t="s">
        <v>15</v>
      </c>
      <c r="D554" t="s">
        <v>16</v>
      </c>
      <c r="E554" t="s">
        <v>15</v>
      </c>
      <c r="F554">
        <v>42</v>
      </c>
      <c r="G554" t="s">
        <v>25</v>
      </c>
      <c r="H554" t="s">
        <v>18</v>
      </c>
      <c r="I554" t="s">
        <v>26</v>
      </c>
      <c r="J554">
        <v>77.540000000000006</v>
      </c>
      <c r="K554">
        <v>3252.71</v>
      </c>
      <c r="L554" t="s">
        <v>15</v>
      </c>
      <c r="M554" t="str">
        <f t="shared" si="9"/>
        <v>3 to 4 years</v>
      </c>
    </row>
    <row r="555" spans="1:13">
      <c r="A555" t="s">
        <v>579</v>
      </c>
      <c r="B555" t="s">
        <v>21</v>
      </c>
      <c r="C555" t="s">
        <v>15</v>
      </c>
      <c r="D555" t="s">
        <v>15</v>
      </c>
      <c r="E555" t="s">
        <v>15</v>
      </c>
      <c r="F555">
        <v>11</v>
      </c>
      <c r="G555" t="s">
        <v>22</v>
      </c>
      <c r="H555" t="s">
        <v>18</v>
      </c>
      <c r="I555" t="s">
        <v>23</v>
      </c>
      <c r="J555">
        <v>127.03</v>
      </c>
      <c r="K555">
        <v>1485.14</v>
      </c>
      <c r="L555" t="s">
        <v>16</v>
      </c>
      <c r="M555" t="str">
        <f t="shared" si="9"/>
        <v>Up to 1 year</v>
      </c>
    </row>
    <row r="556" spans="1:13">
      <c r="A556" t="s">
        <v>580</v>
      </c>
      <c r="B556" t="s">
        <v>14</v>
      </c>
      <c r="C556" t="s">
        <v>15</v>
      </c>
      <c r="D556" t="s">
        <v>15</v>
      </c>
      <c r="E556" t="s">
        <v>16</v>
      </c>
      <c r="F556">
        <v>39</v>
      </c>
      <c r="G556" t="s">
        <v>22</v>
      </c>
      <c r="H556" t="s">
        <v>18</v>
      </c>
      <c r="I556" t="s">
        <v>26</v>
      </c>
      <c r="J556">
        <v>47.23</v>
      </c>
      <c r="K556">
        <v>1767.15</v>
      </c>
      <c r="L556" t="s">
        <v>15</v>
      </c>
      <c r="M556" t="str">
        <f t="shared" si="9"/>
        <v>3 to 4 years</v>
      </c>
    </row>
    <row r="557" spans="1:13">
      <c r="A557" t="s">
        <v>581</v>
      </c>
      <c r="B557" t="s">
        <v>21</v>
      </c>
      <c r="C557" t="s">
        <v>15</v>
      </c>
      <c r="D557" t="s">
        <v>15</v>
      </c>
      <c r="E557" t="s">
        <v>15</v>
      </c>
      <c r="F557">
        <v>19</v>
      </c>
      <c r="G557" t="s">
        <v>22</v>
      </c>
      <c r="H557" t="s">
        <v>18</v>
      </c>
      <c r="I557" t="s">
        <v>19</v>
      </c>
      <c r="J557">
        <v>66.2</v>
      </c>
      <c r="K557">
        <v>1222.28</v>
      </c>
      <c r="L557" t="s">
        <v>16</v>
      </c>
      <c r="M557" t="str">
        <f t="shared" si="9"/>
        <v>1 to 2 years</v>
      </c>
    </row>
    <row r="558" spans="1:13">
      <c r="A558" t="s">
        <v>582</v>
      </c>
      <c r="B558" t="s">
        <v>21</v>
      </c>
      <c r="C558" t="s">
        <v>15</v>
      </c>
      <c r="D558" t="s">
        <v>16</v>
      </c>
      <c r="E558" t="s">
        <v>15</v>
      </c>
      <c r="F558">
        <v>37</v>
      </c>
      <c r="G558" t="s">
        <v>22</v>
      </c>
      <c r="H558" t="s">
        <v>18</v>
      </c>
      <c r="I558" t="s">
        <v>26</v>
      </c>
      <c r="J558">
        <v>89.75</v>
      </c>
      <c r="K558">
        <v>3186.35</v>
      </c>
      <c r="L558" t="s">
        <v>15</v>
      </c>
      <c r="M558" t="str">
        <f t="shared" si="9"/>
        <v>3 to 4 years</v>
      </c>
    </row>
    <row r="559" spans="1:13">
      <c r="A559" t="s">
        <v>583</v>
      </c>
      <c r="B559" t="s">
        <v>21</v>
      </c>
      <c r="C559" t="s">
        <v>15</v>
      </c>
      <c r="D559" t="s">
        <v>16</v>
      </c>
      <c r="E559" t="s">
        <v>16</v>
      </c>
      <c r="F559">
        <v>2</v>
      </c>
      <c r="G559" t="s">
        <v>17</v>
      </c>
      <c r="H559" t="s">
        <v>34</v>
      </c>
      <c r="I559" t="s">
        <v>19</v>
      </c>
      <c r="J559">
        <v>99.2</v>
      </c>
      <c r="K559">
        <v>98.05</v>
      </c>
      <c r="L559" t="s">
        <v>15</v>
      </c>
      <c r="M559" t="str">
        <f t="shared" si="9"/>
        <v>Up to 1 year</v>
      </c>
    </row>
    <row r="560" spans="1:13">
      <c r="A560" t="s">
        <v>584</v>
      </c>
      <c r="B560" t="s">
        <v>21</v>
      </c>
      <c r="C560" t="s">
        <v>15</v>
      </c>
      <c r="D560" t="s">
        <v>15</v>
      </c>
      <c r="E560" t="s">
        <v>16</v>
      </c>
      <c r="F560">
        <v>27</v>
      </c>
      <c r="G560" t="s">
        <v>22</v>
      </c>
      <c r="H560" t="s">
        <v>18</v>
      </c>
      <c r="I560" t="s">
        <v>23</v>
      </c>
      <c r="J560">
        <v>96.53</v>
      </c>
      <c r="K560">
        <v>2760.18</v>
      </c>
      <c r="L560" t="s">
        <v>15</v>
      </c>
      <c r="M560" t="str">
        <f t="shared" si="9"/>
        <v>2 to 3 years</v>
      </c>
    </row>
    <row r="561" spans="1:13">
      <c r="A561" t="s">
        <v>585</v>
      </c>
      <c r="B561" t="s">
        <v>21</v>
      </c>
      <c r="C561" t="s">
        <v>15</v>
      </c>
      <c r="D561" t="s">
        <v>15</v>
      </c>
      <c r="E561" t="s">
        <v>15</v>
      </c>
      <c r="F561">
        <v>55</v>
      </c>
      <c r="G561" t="s">
        <v>17</v>
      </c>
      <c r="H561" t="s">
        <v>18</v>
      </c>
      <c r="I561" t="s">
        <v>26</v>
      </c>
      <c r="J561">
        <v>77.930000000000007</v>
      </c>
      <c r="K561">
        <v>4341.54</v>
      </c>
      <c r="L561" t="s">
        <v>15</v>
      </c>
      <c r="M561" t="str">
        <f t="shared" si="9"/>
        <v>4 to 5 years</v>
      </c>
    </row>
    <row r="562" spans="1:13">
      <c r="A562" t="s">
        <v>586</v>
      </c>
      <c r="B562" t="s">
        <v>21</v>
      </c>
      <c r="C562" t="s">
        <v>15</v>
      </c>
      <c r="D562" t="s">
        <v>15</v>
      </c>
      <c r="E562" t="s">
        <v>15</v>
      </c>
      <c r="F562">
        <v>12</v>
      </c>
      <c r="G562" t="s">
        <v>22</v>
      </c>
      <c r="H562" t="s">
        <v>18</v>
      </c>
      <c r="I562" t="s">
        <v>23</v>
      </c>
      <c r="J562">
        <v>68.12</v>
      </c>
      <c r="K562">
        <v>707.78</v>
      </c>
      <c r="L562" t="s">
        <v>15</v>
      </c>
      <c r="M562" t="str">
        <f t="shared" si="9"/>
        <v>Up to 1 year</v>
      </c>
    </row>
    <row r="563" spans="1:13">
      <c r="A563" t="s">
        <v>587</v>
      </c>
      <c r="B563" t="s">
        <v>14</v>
      </c>
      <c r="C563" t="s">
        <v>15</v>
      </c>
      <c r="D563" t="s">
        <v>15</v>
      </c>
      <c r="E563" t="s">
        <v>15</v>
      </c>
      <c r="F563">
        <v>65</v>
      </c>
      <c r="G563" t="s">
        <v>22</v>
      </c>
      <c r="H563" t="s">
        <v>34</v>
      </c>
      <c r="I563" t="s">
        <v>19</v>
      </c>
      <c r="J563">
        <v>99.34</v>
      </c>
      <c r="K563">
        <v>6552.69</v>
      </c>
      <c r="L563" t="s">
        <v>15</v>
      </c>
      <c r="M563" t="str">
        <f t="shared" si="9"/>
        <v>5 to 6 years</v>
      </c>
    </row>
    <row r="564" spans="1:13">
      <c r="A564" t="s">
        <v>588</v>
      </c>
      <c r="B564" t="s">
        <v>14</v>
      </c>
      <c r="C564" t="s">
        <v>15</v>
      </c>
      <c r="D564" t="s">
        <v>15</v>
      </c>
      <c r="E564" t="s">
        <v>16</v>
      </c>
      <c r="F564">
        <v>36</v>
      </c>
      <c r="G564" t="s">
        <v>17</v>
      </c>
      <c r="H564" t="s">
        <v>18</v>
      </c>
      <c r="I564" t="s">
        <v>23</v>
      </c>
      <c r="J564">
        <v>99.11</v>
      </c>
      <c r="K564">
        <v>3511.66</v>
      </c>
      <c r="L564" t="s">
        <v>15</v>
      </c>
      <c r="M564" t="str">
        <f t="shared" si="9"/>
        <v>2 to 3 years</v>
      </c>
    </row>
    <row r="565" spans="1:13">
      <c r="A565" t="s">
        <v>589</v>
      </c>
      <c r="B565" t="s">
        <v>14</v>
      </c>
      <c r="C565" t="s">
        <v>15</v>
      </c>
      <c r="D565" t="s">
        <v>15</v>
      </c>
      <c r="E565" t="s">
        <v>16</v>
      </c>
      <c r="F565">
        <v>48</v>
      </c>
      <c r="G565" t="s">
        <v>22</v>
      </c>
      <c r="H565" t="s">
        <v>15</v>
      </c>
      <c r="I565" t="s">
        <v>26</v>
      </c>
      <c r="J565">
        <v>33.14</v>
      </c>
      <c r="K565">
        <v>1642</v>
      </c>
      <c r="L565" t="s">
        <v>15</v>
      </c>
      <c r="M565" t="str">
        <f t="shared" si="9"/>
        <v>3 to 4 years</v>
      </c>
    </row>
    <row r="566" spans="1:13">
      <c r="A566" t="s">
        <v>590</v>
      </c>
      <c r="B566" t="s">
        <v>21</v>
      </c>
      <c r="C566" t="s">
        <v>15</v>
      </c>
      <c r="D566" t="s">
        <v>16</v>
      </c>
      <c r="E566" t="s">
        <v>15</v>
      </c>
      <c r="F566">
        <v>65</v>
      </c>
      <c r="G566" t="s">
        <v>17</v>
      </c>
      <c r="H566" t="s">
        <v>34</v>
      </c>
      <c r="I566" t="s">
        <v>26</v>
      </c>
      <c r="J566">
        <v>47.39</v>
      </c>
      <c r="K566">
        <v>3130.43</v>
      </c>
      <c r="L566" t="s">
        <v>15</v>
      </c>
      <c r="M566" t="str">
        <f t="shared" si="9"/>
        <v>5 to 6 years</v>
      </c>
    </row>
    <row r="567" spans="1:13">
      <c r="A567" t="s">
        <v>591</v>
      </c>
      <c r="B567" t="s">
        <v>21</v>
      </c>
      <c r="C567" t="s">
        <v>15</v>
      </c>
      <c r="D567" t="s">
        <v>15</v>
      </c>
      <c r="E567" t="s">
        <v>16</v>
      </c>
      <c r="F567">
        <v>35</v>
      </c>
      <c r="G567" t="s">
        <v>17</v>
      </c>
      <c r="H567" t="s">
        <v>18</v>
      </c>
      <c r="I567" t="s">
        <v>19</v>
      </c>
      <c r="J567">
        <v>66.36</v>
      </c>
      <c r="K567">
        <v>2455.8000000000002</v>
      </c>
      <c r="L567" t="s">
        <v>15</v>
      </c>
      <c r="M567" t="str">
        <f t="shared" si="9"/>
        <v>2 to 3 years</v>
      </c>
    </row>
    <row r="568" spans="1:13">
      <c r="A568" t="s">
        <v>592</v>
      </c>
      <c r="B568" t="s">
        <v>21</v>
      </c>
      <c r="C568" t="s">
        <v>15</v>
      </c>
      <c r="D568" t="s">
        <v>16</v>
      </c>
      <c r="E568" t="s">
        <v>16</v>
      </c>
      <c r="F568">
        <v>53</v>
      </c>
      <c r="G568" t="s">
        <v>25</v>
      </c>
      <c r="H568" t="s">
        <v>18</v>
      </c>
      <c r="I568" t="s">
        <v>36</v>
      </c>
      <c r="J568">
        <v>63.16</v>
      </c>
      <c r="K568">
        <v>3304.46</v>
      </c>
      <c r="L568" t="s">
        <v>15</v>
      </c>
      <c r="M568" t="str">
        <f t="shared" si="9"/>
        <v>4 to 5 years</v>
      </c>
    </row>
    <row r="569" spans="1:13">
      <c r="A569" t="s">
        <v>593</v>
      </c>
      <c r="B569" t="s">
        <v>21</v>
      </c>
      <c r="C569" t="s">
        <v>16</v>
      </c>
      <c r="D569" t="s">
        <v>16</v>
      </c>
      <c r="E569" t="s">
        <v>16</v>
      </c>
      <c r="F569">
        <v>25</v>
      </c>
      <c r="G569" t="s">
        <v>22</v>
      </c>
      <c r="H569" t="s">
        <v>18</v>
      </c>
      <c r="I569" t="s">
        <v>36</v>
      </c>
      <c r="J569">
        <v>105.75</v>
      </c>
      <c r="K569">
        <v>2584.5300000000002</v>
      </c>
      <c r="L569" t="s">
        <v>15</v>
      </c>
      <c r="M569" t="str">
        <f t="shared" si="9"/>
        <v>2 to 3 years</v>
      </c>
    </row>
    <row r="570" spans="1:13">
      <c r="A570" t="s">
        <v>594</v>
      </c>
      <c r="B570" t="s">
        <v>14</v>
      </c>
      <c r="C570" t="s">
        <v>15</v>
      </c>
      <c r="D570" t="s">
        <v>15</v>
      </c>
      <c r="E570" t="s">
        <v>15</v>
      </c>
      <c r="F570">
        <v>71</v>
      </c>
      <c r="G570" t="s">
        <v>17</v>
      </c>
      <c r="H570" t="s">
        <v>18</v>
      </c>
      <c r="I570" t="s">
        <v>26</v>
      </c>
      <c r="J570">
        <v>90.89</v>
      </c>
      <c r="K570">
        <v>6238.07</v>
      </c>
      <c r="L570" t="s">
        <v>15</v>
      </c>
      <c r="M570" t="str">
        <f t="shared" si="9"/>
        <v>5 to 6 years</v>
      </c>
    </row>
    <row r="571" spans="1:13">
      <c r="A571" t="s">
        <v>595</v>
      </c>
      <c r="B571" t="s">
        <v>14</v>
      </c>
      <c r="C571" t="s">
        <v>15</v>
      </c>
      <c r="D571" t="s">
        <v>15</v>
      </c>
      <c r="E571" t="s">
        <v>15</v>
      </c>
      <c r="F571">
        <v>39</v>
      </c>
      <c r="G571" t="s">
        <v>25</v>
      </c>
      <c r="H571" t="s">
        <v>34</v>
      </c>
      <c r="I571" t="s">
        <v>26</v>
      </c>
      <c r="J571">
        <v>83.94</v>
      </c>
      <c r="K571">
        <v>3263.92</v>
      </c>
      <c r="L571" t="s">
        <v>15</v>
      </c>
      <c r="M571" t="str">
        <f t="shared" si="9"/>
        <v>3 to 4 years</v>
      </c>
    </row>
    <row r="572" spans="1:13">
      <c r="A572" t="s">
        <v>596</v>
      </c>
      <c r="B572" t="s">
        <v>21</v>
      </c>
      <c r="C572" t="s">
        <v>15</v>
      </c>
      <c r="D572" t="s">
        <v>16</v>
      </c>
      <c r="E572" t="s">
        <v>15</v>
      </c>
      <c r="F572">
        <v>42</v>
      </c>
      <c r="G572" t="s">
        <v>17</v>
      </c>
      <c r="H572" t="s">
        <v>15</v>
      </c>
      <c r="I572" t="s">
        <v>23</v>
      </c>
      <c r="J572">
        <v>59.79</v>
      </c>
      <c r="K572">
        <v>2569.21</v>
      </c>
      <c r="L572" t="s">
        <v>16</v>
      </c>
      <c r="M572" t="str">
        <f t="shared" si="9"/>
        <v>3 to 4 years</v>
      </c>
    </row>
    <row r="573" spans="1:13">
      <c r="A573" t="s">
        <v>597</v>
      </c>
      <c r="B573" t="s">
        <v>14</v>
      </c>
      <c r="C573" t="s">
        <v>15</v>
      </c>
      <c r="D573" t="s">
        <v>15</v>
      </c>
      <c r="E573" t="s">
        <v>15</v>
      </c>
      <c r="F573">
        <v>21</v>
      </c>
      <c r="G573" t="s">
        <v>22</v>
      </c>
      <c r="H573" t="s">
        <v>18</v>
      </c>
      <c r="I573" t="s">
        <v>26</v>
      </c>
      <c r="J573">
        <v>85.97</v>
      </c>
      <c r="K573">
        <v>1874.33</v>
      </c>
      <c r="L573" t="s">
        <v>16</v>
      </c>
      <c r="M573" t="str">
        <f t="shared" si="9"/>
        <v>1 to 2 years</v>
      </c>
    </row>
    <row r="574" spans="1:13">
      <c r="A574" t="s">
        <v>598</v>
      </c>
      <c r="B574" t="s">
        <v>14</v>
      </c>
      <c r="C574" t="s">
        <v>16</v>
      </c>
      <c r="D574" t="s">
        <v>15</v>
      </c>
      <c r="E574" t="s">
        <v>15</v>
      </c>
      <c r="F574">
        <v>19</v>
      </c>
      <c r="G574" t="s">
        <v>17</v>
      </c>
      <c r="H574" t="s">
        <v>34</v>
      </c>
      <c r="I574" t="s">
        <v>23</v>
      </c>
      <c r="J574">
        <v>30.45</v>
      </c>
      <c r="K574">
        <v>678.74</v>
      </c>
      <c r="L574" t="s">
        <v>15</v>
      </c>
      <c r="M574" t="str">
        <f t="shared" si="9"/>
        <v>1 to 2 years</v>
      </c>
    </row>
    <row r="575" spans="1:13">
      <c r="A575" t="s">
        <v>599</v>
      </c>
      <c r="B575" t="s">
        <v>21</v>
      </c>
      <c r="C575" t="s">
        <v>16</v>
      </c>
      <c r="D575" t="s">
        <v>16</v>
      </c>
      <c r="E575" t="s">
        <v>15</v>
      </c>
      <c r="F575">
        <v>7</v>
      </c>
      <c r="G575" t="s">
        <v>17</v>
      </c>
      <c r="H575" t="s">
        <v>34</v>
      </c>
      <c r="I575" t="s">
        <v>23</v>
      </c>
      <c r="J575">
        <v>89.85</v>
      </c>
      <c r="K575">
        <v>652.13</v>
      </c>
      <c r="L575" t="s">
        <v>15</v>
      </c>
      <c r="M575" t="str">
        <f t="shared" si="9"/>
        <v>Up to 1 year</v>
      </c>
    </row>
    <row r="576" spans="1:13">
      <c r="A576" t="s">
        <v>600</v>
      </c>
      <c r="B576" t="s">
        <v>14</v>
      </c>
      <c r="C576" t="s">
        <v>15</v>
      </c>
      <c r="D576" t="s">
        <v>16</v>
      </c>
      <c r="E576" t="s">
        <v>16</v>
      </c>
      <c r="F576">
        <v>28</v>
      </c>
      <c r="G576" t="s">
        <v>17</v>
      </c>
      <c r="H576" t="s">
        <v>18</v>
      </c>
      <c r="I576" t="s">
        <v>36</v>
      </c>
      <c r="J576">
        <v>65.91</v>
      </c>
      <c r="K576">
        <v>1885.86</v>
      </c>
      <c r="L576" t="s">
        <v>15</v>
      </c>
      <c r="M576" t="str">
        <f t="shared" si="9"/>
        <v>2 to 3 years</v>
      </c>
    </row>
    <row r="577" spans="1:13">
      <c r="A577" t="s">
        <v>601</v>
      </c>
      <c r="B577" t="s">
        <v>21</v>
      </c>
      <c r="C577" t="s">
        <v>15</v>
      </c>
      <c r="D577" t="s">
        <v>16</v>
      </c>
      <c r="E577" t="s">
        <v>15</v>
      </c>
      <c r="F577">
        <v>39</v>
      </c>
      <c r="G577" t="s">
        <v>22</v>
      </c>
      <c r="H577" t="s">
        <v>34</v>
      </c>
      <c r="I577" t="s">
        <v>26</v>
      </c>
      <c r="J577">
        <v>69.17</v>
      </c>
      <c r="K577">
        <v>2703.08</v>
      </c>
      <c r="L577" t="s">
        <v>15</v>
      </c>
      <c r="M577" t="str">
        <f t="shared" si="9"/>
        <v>3 to 4 years</v>
      </c>
    </row>
    <row r="578" spans="1:13">
      <c r="A578" t="s">
        <v>602</v>
      </c>
      <c r="B578" t="s">
        <v>14</v>
      </c>
      <c r="C578" t="s">
        <v>15</v>
      </c>
      <c r="D578" t="s">
        <v>15</v>
      </c>
      <c r="E578" t="s">
        <v>15</v>
      </c>
      <c r="F578">
        <v>29</v>
      </c>
      <c r="G578" t="s">
        <v>22</v>
      </c>
      <c r="H578" t="s">
        <v>34</v>
      </c>
      <c r="I578" t="s">
        <v>19</v>
      </c>
      <c r="J578">
        <v>58.17</v>
      </c>
      <c r="K578">
        <v>1743.53</v>
      </c>
      <c r="L578" t="s">
        <v>15</v>
      </c>
      <c r="M578" t="str">
        <f t="shared" si="9"/>
        <v>2 to 3 years</v>
      </c>
    </row>
    <row r="579" spans="1:13">
      <c r="A579" t="s">
        <v>603</v>
      </c>
      <c r="B579" t="s">
        <v>21</v>
      </c>
      <c r="C579" t="s">
        <v>15</v>
      </c>
      <c r="D579" t="s">
        <v>16</v>
      </c>
      <c r="E579" t="s">
        <v>15</v>
      </c>
      <c r="F579">
        <v>54</v>
      </c>
      <c r="G579" t="s">
        <v>25</v>
      </c>
      <c r="H579" t="s">
        <v>15</v>
      </c>
      <c r="I579" t="s">
        <v>23</v>
      </c>
      <c r="J579">
        <v>58.65</v>
      </c>
      <c r="K579">
        <v>3092.36</v>
      </c>
      <c r="L579" t="s">
        <v>15</v>
      </c>
      <c r="M579" t="str">
        <f t="shared" ref="M579:M642" si="10">IF(F579=0,"Just signed",IF(F579&lt;=12,"Up to 1 year",IF(F579&lt;=24,"1 to 2 years",IF(F579&lt;=36,"2 to 3 years",IF(F579&lt;=48,"3 to 4 years",IF(F579&lt;=60,"4 to 5 years","5 to 6 years"))))))</f>
        <v>4 to 5 years</v>
      </c>
    </row>
    <row r="580" spans="1:13">
      <c r="A580" t="s">
        <v>604</v>
      </c>
      <c r="B580" t="s">
        <v>21</v>
      </c>
      <c r="C580" t="s">
        <v>15</v>
      </c>
      <c r="D580" t="s">
        <v>15</v>
      </c>
      <c r="E580" t="s">
        <v>15</v>
      </c>
      <c r="F580">
        <v>15</v>
      </c>
      <c r="G580" t="s">
        <v>22</v>
      </c>
      <c r="H580" t="s">
        <v>34</v>
      </c>
      <c r="I580" t="s">
        <v>26</v>
      </c>
      <c r="J580">
        <v>84.33</v>
      </c>
      <c r="K580">
        <v>1152.27</v>
      </c>
      <c r="L580" t="s">
        <v>15</v>
      </c>
      <c r="M580" t="str">
        <f t="shared" si="10"/>
        <v>1 to 2 years</v>
      </c>
    </row>
    <row r="581" spans="1:13">
      <c r="A581" t="s">
        <v>605</v>
      </c>
      <c r="B581" t="s">
        <v>21</v>
      </c>
      <c r="C581" t="s">
        <v>15</v>
      </c>
      <c r="D581" t="s">
        <v>16</v>
      </c>
      <c r="E581" t="s">
        <v>15</v>
      </c>
      <c r="F581">
        <v>45</v>
      </c>
      <c r="G581" t="s">
        <v>17</v>
      </c>
      <c r="H581" t="s">
        <v>18</v>
      </c>
      <c r="I581" t="s">
        <v>23</v>
      </c>
      <c r="J581">
        <v>54.78</v>
      </c>
      <c r="K581">
        <v>2398.8000000000002</v>
      </c>
      <c r="L581" t="s">
        <v>15</v>
      </c>
      <c r="M581" t="str">
        <f t="shared" si="10"/>
        <v>3 to 4 years</v>
      </c>
    </row>
    <row r="582" spans="1:13">
      <c r="A582" t="s">
        <v>606</v>
      </c>
      <c r="B582" t="s">
        <v>21</v>
      </c>
      <c r="C582" t="s">
        <v>15</v>
      </c>
      <c r="D582" t="s">
        <v>16</v>
      </c>
      <c r="E582" t="s">
        <v>16</v>
      </c>
      <c r="F582">
        <v>61</v>
      </c>
      <c r="G582" t="s">
        <v>22</v>
      </c>
      <c r="H582" t="s">
        <v>34</v>
      </c>
      <c r="I582" t="s">
        <v>23</v>
      </c>
      <c r="J582">
        <v>76.319999999999993</v>
      </c>
      <c r="K582">
        <v>4672.6099999999997</v>
      </c>
      <c r="L582" t="s">
        <v>15</v>
      </c>
      <c r="M582" t="str">
        <f t="shared" si="10"/>
        <v>5 to 6 years</v>
      </c>
    </row>
    <row r="583" spans="1:13">
      <c r="A583" t="s">
        <v>607</v>
      </c>
      <c r="B583" t="s">
        <v>14</v>
      </c>
      <c r="C583" t="s">
        <v>16</v>
      </c>
      <c r="D583" t="s">
        <v>16</v>
      </c>
      <c r="E583" t="s">
        <v>15</v>
      </c>
      <c r="F583">
        <v>6</v>
      </c>
      <c r="G583" t="s">
        <v>22</v>
      </c>
      <c r="H583" t="s">
        <v>18</v>
      </c>
      <c r="I583" t="s">
        <v>23</v>
      </c>
      <c r="J583">
        <v>68.77</v>
      </c>
      <c r="K583">
        <v>308.58999999999997</v>
      </c>
      <c r="L583" t="s">
        <v>15</v>
      </c>
      <c r="M583" t="str">
        <f t="shared" si="10"/>
        <v>Up to 1 year</v>
      </c>
    </row>
    <row r="584" spans="1:13">
      <c r="A584" t="s">
        <v>608</v>
      </c>
      <c r="B584" t="s">
        <v>21</v>
      </c>
      <c r="C584" t="s">
        <v>15</v>
      </c>
      <c r="D584" t="s">
        <v>15</v>
      </c>
      <c r="E584" t="s">
        <v>15</v>
      </c>
      <c r="F584">
        <v>44</v>
      </c>
      <c r="G584" t="s">
        <v>22</v>
      </c>
      <c r="H584" t="s">
        <v>18</v>
      </c>
      <c r="I584" t="s">
        <v>19</v>
      </c>
      <c r="J584">
        <v>113.04</v>
      </c>
      <c r="K584">
        <v>4923.1000000000004</v>
      </c>
      <c r="L584" t="s">
        <v>16</v>
      </c>
      <c r="M584" t="str">
        <f t="shared" si="10"/>
        <v>3 to 4 years</v>
      </c>
    </row>
    <row r="585" spans="1:13">
      <c r="A585" t="s">
        <v>609</v>
      </c>
      <c r="B585" t="s">
        <v>21</v>
      </c>
      <c r="C585" t="s">
        <v>15</v>
      </c>
      <c r="D585" t="s">
        <v>15</v>
      </c>
      <c r="E585" t="s">
        <v>15</v>
      </c>
      <c r="F585">
        <v>58</v>
      </c>
      <c r="G585" t="s">
        <v>22</v>
      </c>
      <c r="H585" t="s">
        <v>34</v>
      </c>
      <c r="I585" t="s">
        <v>26</v>
      </c>
      <c r="J585">
        <v>42.13</v>
      </c>
      <c r="K585">
        <v>2395.44</v>
      </c>
      <c r="L585" t="s">
        <v>15</v>
      </c>
      <c r="M585" t="str">
        <f t="shared" si="10"/>
        <v>4 to 5 years</v>
      </c>
    </row>
    <row r="586" spans="1:13">
      <c r="A586" t="s">
        <v>610</v>
      </c>
      <c r="B586" t="s">
        <v>21</v>
      </c>
      <c r="C586" t="s">
        <v>15</v>
      </c>
      <c r="D586" t="s">
        <v>16</v>
      </c>
      <c r="E586" t="s">
        <v>15</v>
      </c>
      <c r="F586">
        <v>55</v>
      </c>
      <c r="G586" t="s">
        <v>25</v>
      </c>
      <c r="H586" t="s">
        <v>18</v>
      </c>
      <c r="I586" t="s">
        <v>23</v>
      </c>
      <c r="J586">
        <v>54.94</v>
      </c>
      <c r="K586">
        <v>3084.25</v>
      </c>
      <c r="L586" t="s">
        <v>15</v>
      </c>
      <c r="M586" t="str">
        <f t="shared" si="10"/>
        <v>4 to 5 years</v>
      </c>
    </row>
    <row r="587" spans="1:13">
      <c r="A587" t="s">
        <v>611</v>
      </c>
      <c r="B587" t="s">
        <v>14</v>
      </c>
      <c r="C587" t="s">
        <v>15</v>
      </c>
      <c r="D587" t="s">
        <v>16</v>
      </c>
      <c r="E587" t="s">
        <v>15</v>
      </c>
      <c r="F587">
        <v>47</v>
      </c>
      <c r="G587" t="s">
        <v>25</v>
      </c>
      <c r="H587" t="s">
        <v>34</v>
      </c>
      <c r="I587" t="s">
        <v>26</v>
      </c>
      <c r="J587">
        <v>61.01</v>
      </c>
      <c r="K587">
        <v>2920.28</v>
      </c>
      <c r="L587" t="s">
        <v>15</v>
      </c>
      <c r="M587" t="str">
        <f t="shared" si="10"/>
        <v>3 to 4 years</v>
      </c>
    </row>
    <row r="588" spans="1:13">
      <c r="A588" t="s">
        <v>612</v>
      </c>
      <c r="B588" t="s">
        <v>21</v>
      </c>
      <c r="C588" t="s">
        <v>15</v>
      </c>
      <c r="D588" t="s">
        <v>16</v>
      </c>
      <c r="E588" t="s">
        <v>16</v>
      </c>
      <c r="F588">
        <v>26</v>
      </c>
      <c r="G588" t="s">
        <v>17</v>
      </c>
      <c r="H588" t="s">
        <v>15</v>
      </c>
      <c r="I588" t="s">
        <v>23</v>
      </c>
      <c r="J588">
        <v>31.86</v>
      </c>
      <c r="K588">
        <v>834</v>
      </c>
      <c r="L588" t="s">
        <v>15</v>
      </c>
      <c r="M588" t="str">
        <f t="shared" si="10"/>
        <v>2 to 3 years</v>
      </c>
    </row>
    <row r="589" spans="1:13">
      <c r="A589" t="s">
        <v>613</v>
      </c>
      <c r="B589" t="s">
        <v>14</v>
      </c>
      <c r="C589" t="s">
        <v>15</v>
      </c>
      <c r="D589" t="s">
        <v>15</v>
      </c>
      <c r="E589" t="s">
        <v>15</v>
      </c>
      <c r="F589">
        <v>52</v>
      </c>
      <c r="G589" t="s">
        <v>22</v>
      </c>
      <c r="H589" t="s">
        <v>15</v>
      </c>
      <c r="I589" t="s">
        <v>26</v>
      </c>
      <c r="J589">
        <v>49.39</v>
      </c>
      <c r="K589">
        <v>2604.37</v>
      </c>
      <c r="L589" t="s">
        <v>15</v>
      </c>
      <c r="M589" t="str">
        <f t="shared" si="10"/>
        <v>4 to 5 years</v>
      </c>
    </row>
    <row r="590" spans="1:13">
      <c r="A590" t="s">
        <v>614</v>
      </c>
      <c r="B590" t="s">
        <v>21</v>
      </c>
      <c r="C590" t="s">
        <v>15</v>
      </c>
      <c r="D590" t="s">
        <v>16</v>
      </c>
      <c r="E590" t="s">
        <v>16</v>
      </c>
      <c r="F590">
        <v>72</v>
      </c>
      <c r="G590" t="s">
        <v>17</v>
      </c>
      <c r="H590" t="s">
        <v>18</v>
      </c>
      <c r="I590" t="s">
        <v>36</v>
      </c>
      <c r="J590">
        <v>66.8</v>
      </c>
      <c r="K590">
        <v>4847.26</v>
      </c>
      <c r="L590" t="s">
        <v>15</v>
      </c>
      <c r="M590" t="str">
        <f t="shared" si="10"/>
        <v>5 to 6 years</v>
      </c>
    </row>
    <row r="591" spans="1:13">
      <c r="A591" t="s">
        <v>615</v>
      </c>
      <c r="B591" t="s">
        <v>14</v>
      </c>
      <c r="C591" t="s">
        <v>15</v>
      </c>
      <c r="D591" t="s">
        <v>15</v>
      </c>
      <c r="E591" t="s">
        <v>15</v>
      </c>
      <c r="F591">
        <v>34</v>
      </c>
      <c r="G591" t="s">
        <v>17</v>
      </c>
      <c r="H591" t="s">
        <v>18</v>
      </c>
      <c r="I591" t="s">
        <v>26</v>
      </c>
      <c r="J591">
        <v>82.21</v>
      </c>
      <c r="K591">
        <v>2766.05</v>
      </c>
      <c r="L591" t="s">
        <v>15</v>
      </c>
      <c r="M591" t="str">
        <f t="shared" si="10"/>
        <v>2 to 3 years</v>
      </c>
    </row>
    <row r="592" spans="1:13">
      <c r="A592" t="s">
        <v>616</v>
      </c>
      <c r="B592" t="s">
        <v>14</v>
      </c>
      <c r="C592" t="s">
        <v>15</v>
      </c>
      <c r="D592" t="s">
        <v>16</v>
      </c>
      <c r="E592" t="s">
        <v>15</v>
      </c>
      <c r="F592">
        <v>50</v>
      </c>
      <c r="G592" t="s">
        <v>17</v>
      </c>
      <c r="H592" t="s">
        <v>34</v>
      </c>
      <c r="I592" t="s">
        <v>36</v>
      </c>
      <c r="J592">
        <v>95.2</v>
      </c>
      <c r="K592">
        <v>4716.6000000000004</v>
      </c>
      <c r="L592" t="s">
        <v>15</v>
      </c>
      <c r="M592" t="str">
        <f t="shared" si="10"/>
        <v>4 to 5 years</v>
      </c>
    </row>
    <row r="593" spans="1:13">
      <c r="A593" t="s">
        <v>617</v>
      </c>
      <c r="B593" t="s">
        <v>21</v>
      </c>
      <c r="C593" t="s">
        <v>15</v>
      </c>
      <c r="D593" t="s">
        <v>16</v>
      </c>
      <c r="E593" t="s">
        <v>15</v>
      </c>
      <c r="F593">
        <v>36</v>
      </c>
      <c r="G593" t="s">
        <v>22</v>
      </c>
      <c r="H593" t="s">
        <v>18</v>
      </c>
      <c r="I593" t="s">
        <v>36</v>
      </c>
      <c r="J593">
        <v>81.78</v>
      </c>
      <c r="K593">
        <v>3067.01</v>
      </c>
      <c r="L593" t="s">
        <v>15</v>
      </c>
      <c r="M593" t="str">
        <f t="shared" si="10"/>
        <v>2 to 3 years</v>
      </c>
    </row>
    <row r="594" spans="1:13">
      <c r="A594" t="s">
        <v>618</v>
      </c>
      <c r="B594" t="s">
        <v>14</v>
      </c>
      <c r="C594" t="s">
        <v>15</v>
      </c>
      <c r="D594" t="s">
        <v>16</v>
      </c>
      <c r="E594" t="s">
        <v>15</v>
      </c>
      <c r="F594">
        <v>56</v>
      </c>
      <c r="G594" t="s">
        <v>17</v>
      </c>
      <c r="H594" t="s">
        <v>18</v>
      </c>
      <c r="I594" t="s">
        <v>19</v>
      </c>
      <c r="J594">
        <v>84.06</v>
      </c>
      <c r="K594">
        <v>4508.2299999999996</v>
      </c>
      <c r="L594" t="s">
        <v>15</v>
      </c>
      <c r="M594" t="str">
        <f t="shared" si="10"/>
        <v>4 to 5 years</v>
      </c>
    </row>
    <row r="595" spans="1:13">
      <c r="A595" t="s">
        <v>619</v>
      </c>
      <c r="B595" t="s">
        <v>21</v>
      </c>
      <c r="C595" t="s">
        <v>15</v>
      </c>
      <c r="D595" t="s">
        <v>16</v>
      </c>
      <c r="E595" t="s">
        <v>15</v>
      </c>
      <c r="F595">
        <v>7</v>
      </c>
      <c r="G595" t="s">
        <v>17</v>
      </c>
      <c r="H595" t="s">
        <v>34</v>
      </c>
      <c r="I595" t="s">
        <v>26</v>
      </c>
      <c r="J595">
        <v>43.57</v>
      </c>
      <c r="K595">
        <v>245.69</v>
      </c>
      <c r="L595" t="s">
        <v>15</v>
      </c>
      <c r="M595" t="str">
        <f t="shared" si="10"/>
        <v>Up to 1 year</v>
      </c>
    </row>
    <row r="596" spans="1:13">
      <c r="A596" t="s">
        <v>620</v>
      </c>
      <c r="B596" t="s">
        <v>21</v>
      </c>
      <c r="C596" t="s">
        <v>15</v>
      </c>
      <c r="D596" t="s">
        <v>16</v>
      </c>
      <c r="E596" t="s">
        <v>16</v>
      </c>
      <c r="F596">
        <v>19</v>
      </c>
      <c r="G596" t="s">
        <v>25</v>
      </c>
      <c r="H596" t="s">
        <v>18</v>
      </c>
      <c r="I596" t="s">
        <v>36</v>
      </c>
      <c r="J596">
        <v>76.650000000000006</v>
      </c>
      <c r="K596">
        <v>1440.05</v>
      </c>
      <c r="L596" t="s">
        <v>15</v>
      </c>
      <c r="M596" t="str">
        <f t="shared" si="10"/>
        <v>1 to 2 years</v>
      </c>
    </row>
    <row r="597" spans="1:13">
      <c r="A597" t="s">
        <v>621</v>
      </c>
      <c r="B597" t="s">
        <v>21</v>
      </c>
      <c r="C597" t="s">
        <v>15</v>
      </c>
      <c r="D597" t="s">
        <v>16</v>
      </c>
      <c r="E597" t="s">
        <v>15</v>
      </c>
      <c r="F597">
        <v>52</v>
      </c>
      <c r="G597" t="s">
        <v>22</v>
      </c>
      <c r="H597" t="s">
        <v>34</v>
      </c>
      <c r="I597" t="s">
        <v>19</v>
      </c>
      <c r="J597">
        <v>59.46</v>
      </c>
      <c r="K597">
        <v>3136.72</v>
      </c>
      <c r="L597" t="s">
        <v>15</v>
      </c>
      <c r="M597" t="str">
        <f t="shared" si="10"/>
        <v>4 to 5 years</v>
      </c>
    </row>
    <row r="598" spans="1:13">
      <c r="A598" t="s">
        <v>622</v>
      </c>
      <c r="B598" t="s">
        <v>14</v>
      </c>
      <c r="C598" t="s">
        <v>15</v>
      </c>
      <c r="D598" t="s">
        <v>15</v>
      </c>
      <c r="E598" t="s">
        <v>16</v>
      </c>
      <c r="F598">
        <v>11</v>
      </c>
      <c r="G598" t="s">
        <v>17</v>
      </c>
      <c r="H598" t="s">
        <v>18</v>
      </c>
      <c r="I598" t="s">
        <v>23</v>
      </c>
      <c r="J598">
        <v>97.04</v>
      </c>
      <c r="K598">
        <v>1158.28</v>
      </c>
      <c r="L598" t="s">
        <v>16</v>
      </c>
      <c r="M598" t="str">
        <f t="shared" si="10"/>
        <v>Up to 1 year</v>
      </c>
    </row>
    <row r="599" spans="1:13">
      <c r="A599" t="s">
        <v>623</v>
      </c>
      <c r="B599" t="s">
        <v>14</v>
      </c>
      <c r="C599" t="s">
        <v>15</v>
      </c>
      <c r="D599" t="s">
        <v>16</v>
      </c>
      <c r="E599" t="s">
        <v>15</v>
      </c>
      <c r="F599">
        <v>48</v>
      </c>
      <c r="G599" t="s">
        <v>17</v>
      </c>
      <c r="H599" t="s">
        <v>34</v>
      </c>
      <c r="I599" t="s">
        <v>36</v>
      </c>
      <c r="J599">
        <v>50.89</v>
      </c>
      <c r="K599">
        <v>2591.2600000000002</v>
      </c>
      <c r="L599" t="s">
        <v>15</v>
      </c>
      <c r="M599" t="str">
        <f t="shared" si="10"/>
        <v>3 to 4 years</v>
      </c>
    </row>
    <row r="600" spans="1:13">
      <c r="A600" t="s">
        <v>624</v>
      </c>
      <c r="B600" t="s">
        <v>21</v>
      </c>
      <c r="C600" t="s">
        <v>15</v>
      </c>
      <c r="D600" t="s">
        <v>15</v>
      </c>
      <c r="E600" t="s">
        <v>16</v>
      </c>
      <c r="F600">
        <v>16</v>
      </c>
      <c r="G600" t="s">
        <v>22</v>
      </c>
      <c r="H600" t="s">
        <v>18</v>
      </c>
      <c r="I600" t="s">
        <v>26</v>
      </c>
      <c r="J600">
        <v>58.48</v>
      </c>
      <c r="K600">
        <v>928.34</v>
      </c>
      <c r="L600" t="s">
        <v>15</v>
      </c>
      <c r="M600" t="str">
        <f t="shared" si="10"/>
        <v>1 to 2 years</v>
      </c>
    </row>
    <row r="601" spans="1:13">
      <c r="A601" t="s">
        <v>625</v>
      </c>
      <c r="B601" t="s">
        <v>21</v>
      </c>
      <c r="C601" t="s">
        <v>15</v>
      </c>
      <c r="D601" t="s">
        <v>16</v>
      </c>
      <c r="E601" t="s">
        <v>16</v>
      </c>
      <c r="F601">
        <v>63</v>
      </c>
      <c r="G601" t="s">
        <v>22</v>
      </c>
      <c r="H601" t="s">
        <v>34</v>
      </c>
      <c r="I601" t="s">
        <v>23</v>
      </c>
      <c r="J601">
        <v>77.94</v>
      </c>
      <c r="K601">
        <v>4908.24</v>
      </c>
      <c r="L601" t="s">
        <v>16</v>
      </c>
      <c r="M601" t="str">
        <f t="shared" si="10"/>
        <v>5 to 6 years</v>
      </c>
    </row>
    <row r="602" spans="1:13">
      <c r="A602" t="s">
        <v>626</v>
      </c>
      <c r="B602" t="s">
        <v>14</v>
      </c>
      <c r="C602" t="s">
        <v>16</v>
      </c>
      <c r="D602" t="s">
        <v>16</v>
      </c>
      <c r="E602" t="s">
        <v>15</v>
      </c>
      <c r="F602">
        <v>41</v>
      </c>
      <c r="G602" t="s">
        <v>22</v>
      </c>
      <c r="H602" t="s">
        <v>34</v>
      </c>
      <c r="I602" t="s">
        <v>19</v>
      </c>
      <c r="J602">
        <v>119.5</v>
      </c>
      <c r="K602">
        <v>4928.51</v>
      </c>
      <c r="L602" t="s">
        <v>15</v>
      </c>
      <c r="M602" t="str">
        <f t="shared" si="10"/>
        <v>3 to 4 years</v>
      </c>
    </row>
    <row r="603" spans="1:13">
      <c r="A603" t="s">
        <v>627</v>
      </c>
      <c r="B603" t="s">
        <v>21</v>
      </c>
      <c r="C603" t="s">
        <v>15</v>
      </c>
      <c r="D603" t="s">
        <v>15</v>
      </c>
      <c r="E603" t="s">
        <v>16</v>
      </c>
      <c r="F603">
        <v>28</v>
      </c>
      <c r="G603" t="s">
        <v>22</v>
      </c>
      <c r="H603" t="s">
        <v>18</v>
      </c>
      <c r="I603" t="s">
        <v>36</v>
      </c>
      <c r="J603">
        <v>75.599999999999994</v>
      </c>
      <c r="K603">
        <v>2074.31</v>
      </c>
      <c r="L603" t="s">
        <v>15</v>
      </c>
      <c r="M603" t="str">
        <f t="shared" si="10"/>
        <v>2 to 3 years</v>
      </c>
    </row>
    <row r="604" spans="1:13">
      <c r="A604" t="s">
        <v>628</v>
      </c>
      <c r="B604" t="s">
        <v>21</v>
      </c>
      <c r="C604" t="s">
        <v>15</v>
      </c>
      <c r="D604" t="s">
        <v>16</v>
      </c>
      <c r="E604" t="s">
        <v>15</v>
      </c>
      <c r="F604">
        <v>18</v>
      </c>
      <c r="G604" t="s">
        <v>22</v>
      </c>
      <c r="H604" t="s">
        <v>15</v>
      </c>
      <c r="I604" t="s">
        <v>19</v>
      </c>
      <c r="J604">
        <v>59.21</v>
      </c>
      <c r="K604">
        <v>971.04</v>
      </c>
      <c r="L604" t="s">
        <v>15</v>
      </c>
      <c r="M604" t="str">
        <f t="shared" si="10"/>
        <v>1 to 2 years</v>
      </c>
    </row>
    <row r="605" spans="1:13">
      <c r="A605" t="s">
        <v>629</v>
      </c>
      <c r="B605" t="s">
        <v>21</v>
      </c>
      <c r="C605" t="s">
        <v>15</v>
      </c>
      <c r="D605" t="s">
        <v>15</v>
      </c>
      <c r="E605" t="s">
        <v>15</v>
      </c>
      <c r="F605">
        <v>10</v>
      </c>
      <c r="G605" t="s">
        <v>17</v>
      </c>
      <c r="H605" t="s">
        <v>18</v>
      </c>
      <c r="I605" t="s">
        <v>26</v>
      </c>
      <c r="J605">
        <v>103.7</v>
      </c>
      <c r="K605">
        <v>1029.3</v>
      </c>
      <c r="L605" t="s">
        <v>15</v>
      </c>
      <c r="M605" t="str">
        <f t="shared" si="10"/>
        <v>Up to 1 year</v>
      </c>
    </row>
    <row r="606" spans="1:13">
      <c r="A606" t="s">
        <v>630</v>
      </c>
      <c r="B606" t="s">
        <v>14</v>
      </c>
      <c r="C606" t="s">
        <v>15</v>
      </c>
      <c r="D606" t="s">
        <v>15</v>
      </c>
      <c r="E606" t="s">
        <v>16</v>
      </c>
      <c r="F606">
        <v>49</v>
      </c>
      <c r="G606" t="s">
        <v>17</v>
      </c>
      <c r="H606" t="s">
        <v>34</v>
      </c>
      <c r="I606" t="s">
        <v>26</v>
      </c>
      <c r="J606">
        <v>82.75</v>
      </c>
      <c r="K606">
        <v>4114.38</v>
      </c>
      <c r="L606" t="s">
        <v>15</v>
      </c>
      <c r="M606" t="str">
        <f t="shared" si="10"/>
        <v>4 to 5 years</v>
      </c>
    </row>
    <row r="607" spans="1:13">
      <c r="A607" t="s">
        <v>631</v>
      </c>
      <c r="B607" t="s">
        <v>14</v>
      </c>
      <c r="C607" t="s">
        <v>15</v>
      </c>
      <c r="D607" t="s">
        <v>16</v>
      </c>
      <c r="E607" t="s">
        <v>15</v>
      </c>
      <c r="F607">
        <v>70</v>
      </c>
      <c r="G607" t="s">
        <v>17</v>
      </c>
      <c r="H607" t="s">
        <v>34</v>
      </c>
      <c r="I607" t="s">
        <v>26</v>
      </c>
      <c r="J607">
        <v>82.91</v>
      </c>
      <c r="K607">
        <v>5784.27</v>
      </c>
      <c r="L607" t="s">
        <v>15</v>
      </c>
      <c r="M607" t="str">
        <f t="shared" si="10"/>
        <v>5 to 6 years</v>
      </c>
    </row>
    <row r="608" spans="1:13">
      <c r="A608" t="s">
        <v>632</v>
      </c>
      <c r="B608" t="s">
        <v>14</v>
      </c>
      <c r="C608" t="s">
        <v>15</v>
      </c>
      <c r="D608" t="s">
        <v>15</v>
      </c>
      <c r="E608" t="s">
        <v>16</v>
      </c>
      <c r="F608">
        <v>57</v>
      </c>
      <c r="G608" t="s">
        <v>25</v>
      </c>
      <c r="H608" t="s">
        <v>15</v>
      </c>
      <c r="I608" t="s">
        <v>19</v>
      </c>
      <c r="J608">
        <v>52.62</v>
      </c>
      <c r="K608">
        <v>3032.41</v>
      </c>
      <c r="L608" t="s">
        <v>15</v>
      </c>
      <c r="M608" t="str">
        <f t="shared" si="10"/>
        <v>4 to 5 years</v>
      </c>
    </row>
    <row r="609" spans="1:13">
      <c r="A609" t="s">
        <v>633</v>
      </c>
      <c r="B609" t="s">
        <v>21</v>
      </c>
      <c r="C609" t="s">
        <v>15</v>
      </c>
      <c r="D609" t="s">
        <v>15</v>
      </c>
      <c r="E609" t="s">
        <v>16</v>
      </c>
      <c r="F609">
        <v>33</v>
      </c>
      <c r="G609" t="s">
        <v>22</v>
      </c>
      <c r="H609" t="s">
        <v>18</v>
      </c>
      <c r="I609" t="s">
        <v>26</v>
      </c>
      <c r="J609">
        <v>78.11</v>
      </c>
      <c r="K609">
        <v>2428.12</v>
      </c>
      <c r="L609" t="s">
        <v>15</v>
      </c>
      <c r="M609" t="str">
        <f t="shared" si="10"/>
        <v>2 to 3 years</v>
      </c>
    </row>
    <row r="610" spans="1:13">
      <c r="A610" t="s">
        <v>634</v>
      </c>
      <c r="B610" t="s">
        <v>21</v>
      </c>
      <c r="C610" t="s">
        <v>15</v>
      </c>
      <c r="D610" t="s">
        <v>16</v>
      </c>
      <c r="E610" t="s">
        <v>15</v>
      </c>
      <c r="F610">
        <v>19</v>
      </c>
      <c r="G610" t="s">
        <v>22</v>
      </c>
      <c r="H610" t="s">
        <v>34</v>
      </c>
      <c r="I610" t="s">
        <v>26</v>
      </c>
      <c r="J610">
        <v>51.12</v>
      </c>
      <c r="K610">
        <v>972.75</v>
      </c>
      <c r="L610" t="s">
        <v>15</v>
      </c>
      <c r="M610" t="str">
        <f t="shared" si="10"/>
        <v>1 to 2 years</v>
      </c>
    </row>
    <row r="611" spans="1:13">
      <c r="A611" t="s">
        <v>635</v>
      </c>
      <c r="B611" t="s">
        <v>21</v>
      </c>
      <c r="C611" t="s">
        <v>16</v>
      </c>
      <c r="D611" t="s">
        <v>15</v>
      </c>
      <c r="E611" t="s">
        <v>16</v>
      </c>
      <c r="F611">
        <v>49</v>
      </c>
      <c r="G611" t="s">
        <v>17</v>
      </c>
      <c r="H611" t="s">
        <v>15</v>
      </c>
      <c r="I611" t="s">
        <v>26</v>
      </c>
      <c r="J611">
        <v>67.16</v>
      </c>
      <c r="K611">
        <v>3258.56</v>
      </c>
      <c r="L611" t="s">
        <v>15</v>
      </c>
      <c r="M611" t="str">
        <f t="shared" si="10"/>
        <v>4 to 5 years</v>
      </c>
    </row>
    <row r="612" spans="1:13">
      <c r="A612" t="s">
        <v>636</v>
      </c>
      <c r="B612" t="s">
        <v>14</v>
      </c>
      <c r="C612" t="s">
        <v>15</v>
      </c>
      <c r="D612" t="s">
        <v>16</v>
      </c>
      <c r="E612" t="s">
        <v>15</v>
      </c>
      <c r="F612">
        <v>9</v>
      </c>
      <c r="G612" t="s">
        <v>22</v>
      </c>
      <c r="H612" t="s">
        <v>18</v>
      </c>
      <c r="I612" t="s">
        <v>19</v>
      </c>
      <c r="J612">
        <v>91.59</v>
      </c>
      <c r="K612">
        <v>722.3</v>
      </c>
      <c r="L612" t="s">
        <v>16</v>
      </c>
      <c r="M612" t="str">
        <f t="shared" si="10"/>
        <v>Up to 1 year</v>
      </c>
    </row>
    <row r="613" spans="1:13">
      <c r="A613" t="s">
        <v>637</v>
      </c>
      <c r="B613" t="s">
        <v>21</v>
      </c>
      <c r="C613" t="s">
        <v>15</v>
      </c>
      <c r="D613" t="s">
        <v>16</v>
      </c>
      <c r="E613" t="s">
        <v>16</v>
      </c>
      <c r="F613">
        <v>31</v>
      </c>
      <c r="G613" t="s">
        <v>22</v>
      </c>
      <c r="H613" t="s">
        <v>15</v>
      </c>
      <c r="I613" t="s">
        <v>19</v>
      </c>
      <c r="J613">
        <v>72.930000000000007</v>
      </c>
      <c r="K613">
        <v>2313.41</v>
      </c>
      <c r="L613" t="s">
        <v>15</v>
      </c>
      <c r="M613" t="str">
        <f t="shared" si="10"/>
        <v>2 to 3 years</v>
      </c>
    </row>
    <row r="614" spans="1:13">
      <c r="A614" t="s">
        <v>638</v>
      </c>
      <c r="B614" t="s">
        <v>21</v>
      </c>
      <c r="C614" t="s">
        <v>15</v>
      </c>
      <c r="D614" t="s">
        <v>16</v>
      </c>
      <c r="E614" t="s">
        <v>16</v>
      </c>
      <c r="F614">
        <v>51</v>
      </c>
      <c r="G614" t="s">
        <v>22</v>
      </c>
      <c r="H614" t="s">
        <v>15</v>
      </c>
      <c r="I614" t="s">
        <v>36</v>
      </c>
      <c r="J614">
        <v>42.8</v>
      </c>
      <c r="K614">
        <v>2330.4499999999998</v>
      </c>
      <c r="L614" t="s">
        <v>15</v>
      </c>
      <c r="M614" t="str">
        <f t="shared" si="10"/>
        <v>4 to 5 years</v>
      </c>
    </row>
    <row r="615" spans="1:13">
      <c r="A615" t="s">
        <v>639</v>
      </c>
      <c r="B615" t="s">
        <v>21</v>
      </c>
      <c r="C615" t="s">
        <v>15</v>
      </c>
      <c r="D615" t="s">
        <v>16</v>
      </c>
      <c r="E615" t="s">
        <v>15</v>
      </c>
      <c r="F615">
        <v>14</v>
      </c>
      <c r="G615" t="s">
        <v>22</v>
      </c>
      <c r="H615" t="s">
        <v>15</v>
      </c>
      <c r="I615" t="s">
        <v>23</v>
      </c>
      <c r="J615">
        <v>75.75</v>
      </c>
      <c r="K615">
        <v>1139.7</v>
      </c>
      <c r="L615" t="s">
        <v>15</v>
      </c>
      <c r="M615" t="str">
        <f t="shared" si="10"/>
        <v>1 to 2 years</v>
      </c>
    </row>
    <row r="616" spans="1:13">
      <c r="A616" t="s">
        <v>640</v>
      </c>
      <c r="B616" t="s">
        <v>21</v>
      </c>
      <c r="C616" t="s">
        <v>15</v>
      </c>
      <c r="D616" t="s">
        <v>15</v>
      </c>
      <c r="E616" t="s">
        <v>15</v>
      </c>
      <c r="F616">
        <v>2</v>
      </c>
      <c r="G616" t="s">
        <v>25</v>
      </c>
      <c r="H616" t="s">
        <v>34</v>
      </c>
      <c r="I616" t="s">
        <v>23</v>
      </c>
      <c r="J616">
        <v>98.33</v>
      </c>
      <c r="K616">
        <v>280.95999999999998</v>
      </c>
      <c r="L616" t="s">
        <v>15</v>
      </c>
      <c r="M616" t="str">
        <f t="shared" si="10"/>
        <v>Up to 1 year</v>
      </c>
    </row>
    <row r="617" spans="1:13">
      <c r="A617" t="s">
        <v>641</v>
      </c>
      <c r="B617" t="s">
        <v>14</v>
      </c>
      <c r="C617" t="s">
        <v>15</v>
      </c>
      <c r="D617" t="s">
        <v>16</v>
      </c>
      <c r="E617" t="s">
        <v>16</v>
      </c>
      <c r="F617">
        <v>36</v>
      </c>
      <c r="G617" t="s">
        <v>22</v>
      </c>
      <c r="H617" t="s">
        <v>34</v>
      </c>
      <c r="I617" t="s">
        <v>19</v>
      </c>
      <c r="J617">
        <v>39.65</v>
      </c>
      <c r="K617">
        <v>1484.4</v>
      </c>
      <c r="L617" t="s">
        <v>16</v>
      </c>
      <c r="M617" t="str">
        <f t="shared" si="10"/>
        <v>2 to 3 years</v>
      </c>
    </row>
    <row r="618" spans="1:13">
      <c r="A618" t="s">
        <v>642</v>
      </c>
      <c r="B618" t="s">
        <v>14</v>
      </c>
      <c r="C618" t="s">
        <v>16</v>
      </c>
      <c r="D618" t="s">
        <v>16</v>
      </c>
      <c r="E618" t="s">
        <v>15</v>
      </c>
      <c r="F618">
        <v>39</v>
      </c>
      <c r="G618" t="s">
        <v>22</v>
      </c>
      <c r="H618" t="s">
        <v>18</v>
      </c>
      <c r="I618" t="s">
        <v>36</v>
      </c>
      <c r="J618">
        <v>72.58</v>
      </c>
      <c r="K618">
        <v>2882.34</v>
      </c>
      <c r="L618" t="s">
        <v>15</v>
      </c>
      <c r="M618" t="str">
        <f t="shared" si="10"/>
        <v>3 to 4 years</v>
      </c>
    </row>
    <row r="619" spans="1:13">
      <c r="A619" t="s">
        <v>643</v>
      </c>
      <c r="B619" t="s">
        <v>21</v>
      </c>
      <c r="C619" t="s">
        <v>15</v>
      </c>
      <c r="D619" t="s">
        <v>15</v>
      </c>
      <c r="E619" t="s">
        <v>16</v>
      </c>
      <c r="F619">
        <v>71</v>
      </c>
      <c r="G619" t="s">
        <v>22</v>
      </c>
      <c r="H619" t="s">
        <v>18</v>
      </c>
      <c r="I619" t="s">
        <v>23</v>
      </c>
      <c r="J619">
        <v>109.38</v>
      </c>
      <c r="K619">
        <v>7622.03</v>
      </c>
      <c r="L619" t="s">
        <v>15</v>
      </c>
      <c r="M619" t="str">
        <f t="shared" si="10"/>
        <v>5 to 6 years</v>
      </c>
    </row>
    <row r="620" spans="1:13">
      <c r="A620" t="s">
        <v>644</v>
      </c>
      <c r="B620" t="s">
        <v>14</v>
      </c>
      <c r="C620" t="s">
        <v>15</v>
      </c>
      <c r="D620" t="s">
        <v>16</v>
      </c>
      <c r="E620" t="s">
        <v>15</v>
      </c>
      <c r="F620">
        <v>39</v>
      </c>
      <c r="G620" t="s">
        <v>17</v>
      </c>
      <c r="H620" t="s">
        <v>18</v>
      </c>
      <c r="I620" t="s">
        <v>23</v>
      </c>
      <c r="J620">
        <v>63.76</v>
      </c>
      <c r="K620">
        <v>2476.4</v>
      </c>
      <c r="L620" t="s">
        <v>15</v>
      </c>
      <c r="M620" t="str">
        <f t="shared" si="10"/>
        <v>3 to 4 years</v>
      </c>
    </row>
    <row r="621" spans="1:13">
      <c r="A621" t="s">
        <v>645</v>
      </c>
      <c r="B621" t="s">
        <v>14</v>
      </c>
      <c r="C621" t="s">
        <v>16</v>
      </c>
      <c r="D621" t="s">
        <v>16</v>
      </c>
      <c r="E621" t="s">
        <v>15</v>
      </c>
      <c r="F621">
        <v>55</v>
      </c>
      <c r="G621" t="s">
        <v>22</v>
      </c>
      <c r="H621" t="s">
        <v>18</v>
      </c>
      <c r="I621" t="s">
        <v>23</v>
      </c>
      <c r="J621">
        <v>93.22</v>
      </c>
      <c r="K621">
        <v>5167.79</v>
      </c>
      <c r="L621" t="s">
        <v>15</v>
      </c>
      <c r="M621" t="str">
        <f t="shared" si="10"/>
        <v>4 to 5 years</v>
      </c>
    </row>
    <row r="622" spans="1:13">
      <c r="A622" t="s">
        <v>646</v>
      </c>
      <c r="B622" t="s">
        <v>21</v>
      </c>
      <c r="C622" t="s">
        <v>15</v>
      </c>
      <c r="D622" t="s">
        <v>15</v>
      </c>
      <c r="E622" t="s">
        <v>15</v>
      </c>
      <c r="F622">
        <v>22</v>
      </c>
      <c r="G622" t="s">
        <v>17</v>
      </c>
      <c r="H622" t="s">
        <v>18</v>
      </c>
      <c r="I622" t="s">
        <v>26</v>
      </c>
      <c r="J622">
        <v>80.209999999999994</v>
      </c>
      <c r="K622">
        <v>1807.13</v>
      </c>
      <c r="L622" t="s">
        <v>16</v>
      </c>
      <c r="M622" t="str">
        <f t="shared" si="10"/>
        <v>1 to 2 years</v>
      </c>
    </row>
    <row r="623" spans="1:13">
      <c r="A623" t="s">
        <v>647</v>
      </c>
      <c r="B623" t="s">
        <v>21</v>
      </c>
      <c r="C623" t="s">
        <v>15</v>
      </c>
      <c r="D623" t="s">
        <v>15</v>
      </c>
      <c r="E623" t="s">
        <v>15</v>
      </c>
      <c r="F623">
        <v>10</v>
      </c>
      <c r="G623" t="s">
        <v>22</v>
      </c>
      <c r="H623" t="s">
        <v>18</v>
      </c>
      <c r="I623" t="s">
        <v>23</v>
      </c>
      <c r="J623">
        <v>88.27</v>
      </c>
      <c r="K623">
        <v>984.44</v>
      </c>
      <c r="L623" t="s">
        <v>16</v>
      </c>
      <c r="M623" t="str">
        <f t="shared" si="10"/>
        <v>Up to 1 year</v>
      </c>
    </row>
    <row r="624" spans="1:13">
      <c r="A624" t="s">
        <v>648</v>
      </c>
      <c r="B624" t="s">
        <v>14</v>
      </c>
      <c r="C624" t="s">
        <v>15</v>
      </c>
      <c r="D624" t="s">
        <v>15</v>
      </c>
      <c r="E624" t="s">
        <v>15</v>
      </c>
      <c r="F624">
        <v>63</v>
      </c>
      <c r="G624" t="s">
        <v>22</v>
      </c>
      <c r="H624" t="s">
        <v>34</v>
      </c>
      <c r="I624" t="s">
        <v>19</v>
      </c>
      <c r="J624">
        <v>70.98</v>
      </c>
      <c r="K624">
        <v>4389.1499999999996</v>
      </c>
      <c r="L624" t="s">
        <v>15</v>
      </c>
      <c r="M624" t="str">
        <f t="shared" si="10"/>
        <v>5 to 6 years</v>
      </c>
    </row>
    <row r="625" spans="1:13">
      <c r="A625" t="s">
        <v>649</v>
      </c>
      <c r="B625" t="s">
        <v>21</v>
      </c>
      <c r="C625" t="s">
        <v>15</v>
      </c>
      <c r="D625" t="s">
        <v>15</v>
      </c>
      <c r="E625" t="s">
        <v>15</v>
      </c>
      <c r="F625">
        <v>7</v>
      </c>
      <c r="G625" t="s">
        <v>22</v>
      </c>
      <c r="H625" t="s">
        <v>34</v>
      </c>
      <c r="I625" t="s">
        <v>19</v>
      </c>
      <c r="J625">
        <v>88.65</v>
      </c>
      <c r="K625">
        <v>669.13</v>
      </c>
      <c r="L625" t="s">
        <v>15</v>
      </c>
      <c r="M625" t="str">
        <f t="shared" si="10"/>
        <v>Up to 1 year</v>
      </c>
    </row>
    <row r="626" spans="1:13">
      <c r="A626" t="s">
        <v>650</v>
      </c>
      <c r="B626" t="s">
        <v>14</v>
      </c>
      <c r="C626" t="s">
        <v>15</v>
      </c>
      <c r="D626" t="s">
        <v>15</v>
      </c>
      <c r="E626" t="s">
        <v>15</v>
      </c>
      <c r="F626">
        <v>55</v>
      </c>
      <c r="G626" t="s">
        <v>22</v>
      </c>
      <c r="H626" t="s">
        <v>18</v>
      </c>
      <c r="I626" t="s">
        <v>36</v>
      </c>
      <c r="J626">
        <v>54.46</v>
      </c>
      <c r="K626">
        <v>2910.1</v>
      </c>
      <c r="L626" t="s">
        <v>15</v>
      </c>
      <c r="M626" t="str">
        <f t="shared" si="10"/>
        <v>4 to 5 years</v>
      </c>
    </row>
    <row r="627" spans="1:13">
      <c r="A627" t="s">
        <v>651</v>
      </c>
      <c r="B627" t="s">
        <v>21</v>
      </c>
      <c r="C627" t="s">
        <v>15</v>
      </c>
      <c r="D627" t="s">
        <v>15</v>
      </c>
      <c r="E627" t="s">
        <v>15</v>
      </c>
      <c r="F627">
        <v>59</v>
      </c>
      <c r="G627" t="s">
        <v>22</v>
      </c>
      <c r="H627" t="s">
        <v>18</v>
      </c>
      <c r="I627" t="s">
        <v>19</v>
      </c>
      <c r="J627">
        <v>57.17</v>
      </c>
      <c r="K627">
        <v>3356.09</v>
      </c>
      <c r="L627" t="s">
        <v>15</v>
      </c>
      <c r="M627" t="str">
        <f t="shared" si="10"/>
        <v>4 to 5 years</v>
      </c>
    </row>
    <row r="628" spans="1:13">
      <c r="A628" t="s">
        <v>652</v>
      </c>
      <c r="B628" t="s">
        <v>14</v>
      </c>
      <c r="C628" t="s">
        <v>16</v>
      </c>
      <c r="D628" t="s">
        <v>15</v>
      </c>
      <c r="E628" t="s">
        <v>16</v>
      </c>
      <c r="F628">
        <v>9</v>
      </c>
      <c r="G628" t="s">
        <v>22</v>
      </c>
      <c r="H628" t="s">
        <v>34</v>
      </c>
      <c r="I628" t="s">
        <v>23</v>
      </c>
      <c r="J628">
        <v>106.61</v>
      </c>
      <c r="K628">
        <v>954.53</v>
      </c>
      <c r="L628" t="s">
        <v>16</v>
      </c>
      <c r="M628" t="str">
        <f t="shared" si="10"/>
        <v>Up to 1 year</v>
      </c>
    </row>
    <row r="629" spans="1:13">
      <c r="A629" t="s">
        <v>653</v>
      </c>
      <c r="B629" t="s">
        <v>21</v>
      </c>
      <c r="C629" t="s">
        <v>15</v>
      </c>
      <c r="D629" t="s">
        <v>16</v>
      </c>
      <c r="E629" t="s">
        <v>15</v>
      </c>
      <c r="F629">
        <v>38</v>
      </c>
      <c r="G629" t="s">
        <v>25</v>
      </c>
      <c r="H629" t="s">
        <v>18</v>
      </c>
      <c r="I629" t="s">
        <v>19</v>
      </c>
      <c r="J629">
        <v>132.51</v>
      </c>
      <c r="K629">
        <v>5104.3900000000003</v>
      </c>
      <c r="L629" t="s">
        <v>16</v>
      </c>
      <c r="M629" t="str">
        <f t="shared" si="10"/>
        <v>3 to 4 years</v>
      </c>
    </row>
    <row r="630" spans="1:13">
      <c r="A630" t="s">
        <v>654</v>
      </c>
      <c r="B630" t="s">
        <v>14</v>
      </c>
      <c r="C630" t="s">
        <v>15</v>
      </c>
      <c r="D630" t="s">
        <v>15</v>
      </c>
      <c r="E630" t="s">
        <v>15</v>
      </c>
      <c r="F630">
        <v>27</v>
      </c>
      <c r="G630" t="s">
        <v>22</v>
      </c>
      <c r="H630" t="s">
        <v>18</v>
      </c>
      <c r="I630" t="s">
        <v>36</v>
      </c>
      <c r="J630">
        <v>79.86</v>
      </c>
      <c r="K630">
        <v>2215.8200000000002</v>
      </c>
      <c r="L630" t="s">
        <v>15</v>
      </c>
      <c r="M630" t="str">
        <f t="shared" si="10"/>
        <v>2 to 3 years</v>
      </c>
    </row>
    <row r="631" spans="1:13">
      <c r="A631" t="s">
        <v>655</v>
      </c>
      <c r="B631" t="s">
        <v>14</v>
      </c>
      <c r="C631" t="s">
        <v>15</v>
      </c>
      <c r="D631" t="s">
        <v>15</v>
      </c>
      <c r="E631" t="s">
        <v>15</v>
      </c>
      <c r="F631">
        <v>48</v>
      </c>
      <c r="G631" t="s">
        <v>17</v>
      </c>
      <c r="H631" t="s">
        <v>18</v>
      </c>
      <c r="I631" t="s">
        <v>26</v>
      </c>
      <c r="J631">
        <v>122.88</v>
      </c>
      <c r="K631">
        <v>5907.87</v>
      </c>
      <c r="L631" t="s">
        <v>15</v>
      </c>
      <c r="M631" t="str">
        <f t="shared" si="10"/>
        <v>3 to 4 years</v>
      </c>
    </row>
    <row r="632" spans="1:13">
      <c r="A632" t="s">
        <v>656</v>
      </c>
      <c r="B632" t="s">
        <v>14</v>
      </c>
      <c r="C632" t="s">
        <v>15</v>
      </c>
      <c r="D632" t="s">
        <v>15</v>
      </c>
      <c r="E632" t="s">
        <v>15</v>
      </c>
      <c r="F632">
        <v>35</v>
      </c>
      <c r="G632" t="s">
        <v>22</v>
      </c>
      <c r="H632" t="s">
        <v>34</v>
      </c>
      <c r="I632" t="s">
        <v>36</v>
      </c>
      <c r="J632">
        <v>50.71</v>
      </c>
      <c r="K632">
        <v>1602.69</v>
      </c>
      <c r="L632" t="s">
        <v>15</v>
      </c>
      <c r="M632" t="str">
        <f t="shared" si="10"/>
        <v>2 to 3 years</v>
      </c>
    </row>
    <row r="633" spans="1:13">
      <c r="A633" t="s">
        <v>657</v>
      </c>
      <c r="B633" t="s">
        <v>21</v>
      </c>
      <c r="C633" t="s">
        <v>15</v>
      </c>
      <c r="D633" t="s">
        <v>16</v>
      </c>
      <c r="E633" t="s">
        <v>15</v>
      </c>
      <c r="F633">
        <v>12</v>
      </c>
      <c r="G633" t="s">
        <v>22</v>
      </c>
      <c r="H633" t="s">
        <v>18</v>
      </c>
      <c r="I633" t="s">
        <v>36</v>
      </c>
      <c r="J633">
        <v>66.709999999999994</v>
      </c>
      <c r="K633">
        <v>836.11</v>
      </c>
      <c r="L633" t="s">
        <v>16</v>
      </c>
      <c r="M633" t="str">
        <f t="shared" si="10"/>
        <v>Up to 1 year</v>
      </c>
    </row>
    <row r="634" spans="1:13">
      <c r="A634" t="s">
        <v>658</v>
      </c>
      <c r="B634" t="s">
        <v>14</v>
      </c>
      <c r="C634" t="s">
        <v>16</v>
      </c>
      <c r="D634" t="s">
        <v>16</v>
      </c>
      <c r="E634" t="s">
        <v>16</v>
      </c>
      <c r="F634">
        <v>35</v>
      </c>
      <c r="G634" t="s">
        <v>22</v>
      </c>
      <c r="H634" t="s">
        <v>34</v>
      </c>
      <c r="I634" t="s">
        <v>23</v>
      </c>
      <c r="J634">
        <v>106.44</v>
      </c>
      <c r="K634">
        <v>3703.99</v>
      </c>
      <c r="L634" t="s">
        <v>16</v>
      </c>
      <c r="M634" t="str">
        <f t="shared" si="10"/>
        <v>2 to 3 years</v>
      </c>
    </row>
    <row r="635" spans="1:13">
      <c r="A635" t="s">
        <v>659</v>
      </c>
      <c r="B635" t="s">
        <v>14</v>
      </c>
      <c r="C635" t="s">
        <v>15</v>
      </c>
      <c r="D635" t="s">
        <v>15</v>
      </c>
      <c r="E635" t="s">
        <v>16</v>
      </c>
      <c r="F635">
        <v>25</v>
      </c>
      <c r="G635" t="s">
        <v>25</v>
      </c>
      <c r="H635" t="s">
        <v>15</v>
      </c>
      <c r="I635" t="s">
        <v>26</v>
      </c>
      <c r="J635">
        <v>75.099999999999994</v>
      </c>
      <c r="K635">
        <v>1988.84</v>
      </c>
      <c r="L635" t="s">
        <v>15</v>
      </c>
      <c r="M635" t="str">
        <f t="shared" si="10"/>
        <v>2 to 3 years</v>
      </c>
    </row>
    <row r="636" spans="1:13">
      <c r="A636" t="s">
        <v>660</v>
      </c>
      <c r="B636" t="s">
        <v>21</v>
      </c>
      <c r="C636" t="s">
        <v>15</v>
      </c>
      <c r="D636" t="s">
        <v>15</v>
      </c>
      <c r="E636" t="s">
        <v>15</v>
      </c>
      <c r="F636">
        <v>3</v>
      </c>
      <c r="G636" t="s">
        <v>22</v>
      </c>
      <c r="H636" t="s">
        <v>34</v>
      </c>
      <c r="I636" t="s">
        <v>23</v>
      </c>
      <c r="J636">
        <v>110.16</v>
      </c>
      <c r="K636">
        <v>422.76</v>
      </c>
      <c r="L636" t="s">
        <v>16</v>
      </c>
      <c r="M636" t="str">
        <f t="shared" si="10"/>
        <v>Up to 1 year</v>
      </c>
    </row>
    <row r="637" spans="1:13">
      <c r="A637" t="s">
        <v>661</v>
      </c>
      <c r="B637" t="s">
        <v>21</v>
      </c>
      <c r="C637" t="s">
        <v>16</v>
      </c>
      <c r="D637" t="s">
        <v>15</v>
      </c>
      <c r="E637" t="s">
        <v>15</v>
      </c>
      <c r="F637">
        <v>63</v>
      </c>
      <c r="G637" t="s">
        <v>22</v>
      </c>
      <c r="H637" t="s">
        <v>18</v>
      </c>
      <c r="I637" t="s">
        <v>19</v>
      </c>
      <c r="J637">
        <v>91.71</v>
      </c>
      <c r="K637">
        <v>5702.69</v>
      </c>
      <c r="L637" t="s">
        <v>15</v>
      </c>
      <c r="M637" t="str">
        <f t="shared" si="10"/>
        <v>5 to 6 years</v>
      </c>
    </row>
    <row r="638" spans="1:13">
      <c r="A638" t="s">
        <v>662</v>
      </c>
      <c r="B638" t="s">
        <v>14</v>
      </c>
      <c r="C638" t="s">
        <v>15</v>
      </c>
      <c r="D638" t="s">
        <v>16</v>
      </c>
      <c r="E638" t="s">
        <v>15</v>
      </c>
      <c r="F638">
        <v>37</v>
      </c>
      <c r="G638" t="s">
        <v>22</v>
      </c>
      <c r="H638" t="s">
        <v>34</v>
      </c>
      <c r="I638" t="s">
        <v>23</v>
      </c>
      <c r="J638">
        <v>44.69</v>
      </c>
      <c r="K638">
        <v>1700.1</v>
      </c>
      <c r="L638" t="s">
        <v>15</v>
      </c>
      <c r="M638" t="str">
        <f t="shared" si="10"/>
        <v>3 to 4 years</v>
      </c>
    </row>
    <row r="639" spans="1:13">
      <c r="A639" t="s">
        <v>663</v>
      </c>
      <c r="B639" t="s">
        <v>14</v>
      </c>
      <c r="C639" t="s">
        <v>15</v>
      </c>
      <c r="D639" t="s">
        <v>16</v>
      </c>
      <c r="E639" t="s">
        <v>15</v>
      </c>
      <c r="F639">
        <v>21</v>
      </c>
      <c r="G639" t="s">
        <v>22</v>
      </c>
      <c r="H639" t="s">
        <v>18</v>
      </c>
      <c r="I639" t="s">
        <v>23</v>
      </c>
      <c r="J639">
        <v>85.59</v>
      </c>
      <c r="K639">
        <v>1845.54</v>
      </c>
      <c r="L639" t="s">
        <v>16</v>
      </c>
      <c r="M639" t="str">
        <f t="shared" si="10"/>
        <v>1 to 2 years</v>
      </c>
    </row>
    <row r="640" spans="1:13">
      <c r="A640" t="s">
        <v>664</v>
      </c>
      <c r="B640" t="s">
        <v>21</v>
      </c>
      <c r="C640" t="s">
        <v>15</v>
      </c>
      <c r="D640" t="s">
        <v>15</v>
      </c>
      <c r="E640" t="s">
        <v>15</v>
      </c>
      <c r="F640">
        <v>1</v>
      </c>
      <c r="G640" t="s">
        <v>22</v>
      </c>
      <c r="H640" t="s">
        <v>18</v>
      </c>
      <c r="I640" t="s">
        <v>36</v>
      </c>
      <c r="J640">
        <v>110.05</v>
      </c>
      <c r="K640">
        <v>152.38</v>
      </c>
      <c r="L640" t="s">
        <v>16</v>
      </c>
      <c r="M640" t="str">
        <f t="shared" si="10"/>
        <v>Up to 1 year</v>
      </c>
    </row>
    <row r="641" spans="1:13">
      <c r="A641" t="s">
        <v>665</v>
      </c>
      <c r="B641" t="s">
        <v>21</v>
      </c>
      <c r="C641" t="s">
        <v>15</v>
      </c>
      <c r="D641" t="s">
        <v>16</v>
      </c>
      <c r="E641" t="s">
        <v>15</v>
      </c>
      <c r="F641">
        <v>30</v>
      </c>
      <c r="G641" t="s">
        <v>17</v>
      </c>
      <c r="H641" t="s">
        <v>34</v>
      </c>
      <c r="I641" t="s">
        <v>23</v>
      </c>
      <c r="J641">
        <v>66.680000000000007</v>
      </c>
      <c r="K641">
        <v>2032.37</v>
      </c>
      <c r="L641" t="s">
        <v>15</v>
      </c>
      <c r="M641" t="str">
        <f t="shared" si="10"/>
        <v>2 to 3 years</v>
      </c>
    </row>
    <row r="642" spans="1:13">
      <c r="A642" t="s">
        <v>666</v>
      </c>
      <c r="B642" t="s">
        <v>21</v>
      </c>
      <c r="C642" t="s">
        <v>15</v>
      </c>
      <c r="D642" t="s">
        <v>15</v>
      </c>
      <c r="E642" t="s">
        <v>16</v>
      </c>
      <c r="F642">
        <v>10</v>
      </c>
      <c r="G642" t="s">
        <v>22</v>
      </c>
      <c r="H642" t="s">
        <v>18</v>
      </c>
      <c r="I642" t="s">
        <v>36</v>
      </c>
      <c r="J642">
        <v>72.84</v>
      </c>
      <c r="K642">
        <v>778.81</v>
      </c>
      <c r="L642" t="s">
        <v>16</v>
      </c>
      <c r="M642" t="str">
        <f t="shared" si="10"/>
        <v>Up to 1 year</v>
      </c>
    </row>
    <row r="643" spans="1:13">
      <c r="A643" t="s">
        <v>667</v>
      </c>
      <c r="B643" t="s">
        <v>21</v>
      </c>
      <c r="C643" t="s">
        <v>15</v>
      </c>
      <c r="D643" t="s">
        <v>16</v>
      </c>
      <c r="E643" t="s">
        <v>16</v>
      </c>
      <c r="F643">
        <v>45</v>
      </c>
      <c r="G643" t="s">
        <v>22</v>
      </c>
      <c r="H643" t="s">
        <v>34</v>
      </c>
      <c r="I643" t="s">
        <v>23</v>
      </c>
      <c r="J643">
        <v>82.1</v>
      </c>
      <c r="K643">
        <v>3814.62</v>
      </c>
      <c r="L643" t="s">
        <v>16</v>
      </c>
      <c r="M643" t="str">
        <f t="shared" ref="M643:M706" si="11">IF(F643=0,"Just signed",IF(F643&lt;=12,"Up to 1 year",IF(F643&lt;=24,"1 to 2 years",IF(F643&lt;=36,"2 to 3 years",IF(F643&lt;=48,"3 to 4 years",IF(F643&lt;=60,"4 to 5 years","5 to 6 years"))))))</f>
        <v>3 to 4 years</v>
      </c>
    </row>
    <row r="644" spans="1:13">
      <c r="A644" t="s">
        <v>668</v>
      </c>
      <c r="B644" t="s">
        <v>21</v>
      </c>
      <c r="C644" t="s">
        <v>15</v>
      </c>
      <c r="D644" t="s">
        <v>16</v>
      </c>
      <c r="E644" t="s">
        <v>15</v>
      </c>
      <c r="F644">
        <v>61</v>
      </c>
      <c r="G644" t="s">
        <v>17</v>
      </c>
      <c r="H644" t="s">
        <v>34</v>
      </c>
      <c r="I644" t="s">
        <v>23</v>
      </c>
      <c r="J644">
        <v>56.01</v>
      </c>
      <c r="K644">
        <v>3372.5</v>
      </c>
      <c r="L644" t="s">
        <v>15</v>
      </c>
      <c r="M644" t="str">
        <f t="shared" si="11"/>
        <v>5 to 6 years</v>
      </c>
    </row>
    <row r="645" spans="1:13">
      <c r="A645" t="s">
        <v>669</v>
      </c>
      <c r="B645" t="s">
        <v>14</v>
      </c>
      <c r="C645" t="s">
        <v>15</v>
      </c>
      <c r="D645" t="s">
        <v>15</v>
      </c>
      <c r="E645" t="s">
        <v>15</v>
      </c>
      <c r="F645">
        <v>68</v>
      </c>
      <c r="G645" t="s">
        <v>22</v>
      </c>
      <c r="H645" t="s">
        <v>18</v>
      </c>
      <c r="I645" t="s">
        <v>36</v>
      </c>
      <c r="J645">
        <v>87.39</v>
      </c>
      <c r="K645">
        <v>5870.06</v>
      </c>
      <c r="L645" t="s">
        <v>16</v>
      </c>
      <c r="M645" t="str">
        <f t="shared" si="11"/>
        <v>5 to 6 years</v>
      </c>
    </row>
    <row r="646" spans="1:13">
      <c r="A646" t="s">
        <v>670</v>
      </c>
      <c r="B646" t="s">
        <v>21</v>
      </c>
      <c r="C646" t="s">
        <v>15</v>
      </c>
      <c r="D646" t="s">
        <v>15</v>
      </c>
      <c r="E646" t="s">
        <v>16</v>
      </c>
      <c r="F646">
        <v>63</v>
      </c>
      <c r="G646" t="s">
        <v>22</v>
      </c>
      <c r="H646" t="s">
        <v>34</v>
      </c>
      <c r="I646" t="s">
        <v>26</v>
      </c>
      <c r="J646">
        <v>71.59</v>
      </c>
      <c r="K646">
        <v>4572.79</v>
      </c>
      <c r="L646" t="s">
        <v>15</v>
      </c>
      <c r="M646" t="str">
        <f t="shared" si="11"/>
        <v>5 to 6 years</v>
      </c>
    </row>
    <row r="647" spans="1:13">
      <c r="A647" t="s">
        <v>671</v>
      </c>
      <c r="B647" t="s">
        <v>14</v>
      </c>
      <c r="C647" t="s">
        <v>15</v>
      </c>
      <c r="D647" t="s">
        <v>15</v>
      </c>
      <c r="E647" t="s">
        <v>15</v>
      </c>
      <c r="F647">
        <v>9</v>
      </c>
      <c r="G647" t="s">
        <v>22</v>
      </c>
      <c r="H647" t="s">
        <v>15</v>
      </c>
      <c r="I647" t="s">
        <v>26</v>
      </c>
      <c r="J647">
        <v>42.74</v>
      </c>
      <c r="K647">
        <v>233.99</v>
      </c>
      <c r="L647" t="s">
        <v>15</v>
      </c>
      <c r="M647" t="str">
        <f t="shared" si="11"/>
        <v>Up to 1 year</v>
      </c>
    </row>
    <row r="648" spans="1:13">
      <c r="A648" t="s">
        <v>672</v>
      </c>
      <c r="B648" t="s">
        <v>14</v>
      </c>
      <c r="C648" t="s">
        <v>15</v>
      </c>
      <c r="D648" t="s">
        <v>15</v>
      </c>
      <c r="E648" t="s">
        <v>15</v>
      </c>
      <c r="F648">
        <v>39</v>
      </c>
      <c r="G648" t="s">
        <v>17</v>
      </c>
      <c r="H648" t="s">
        <v>18</v>
      </c>
      <c r="I648" t="s">
        <v>23</v>
      </c>
      <c r="J648">
        <v>104.52</v>
      </c>
      <c r="K648">
        <v>4128.6000000000004</v>
      </c>
      <c r="L648" t="s">
        <v>15</v>
      </c>
      <c r="M648" t="str">
        <f t="shared" si="11"/>
        <v>3 to 4 years</v>
      </c>
    </row>
    <row r="649" spans="1:13">
      <c r="A649" t="s">
        <v>673</v>
      </c>
      <c r="B649" t="s">
        <v>14</v>
      </c>
      <c r="C649" t="s">
        <v>15</v>
      </c>
      <c r="D649" t="s">
        <v>16</v>
      </c>
      <c r="E649" t="s">
        <v>15</v>
      </c>
      <c r="F649">
        <v>23</v>
      </c>
      <c r="G649" t="s">
        <v>22</v>
      </c>
      <c r="H649" t="s">
        <v>18</v>
      </c>
      <c r="I649" t="s">
        <v>19</v>
      </c>
      <c r="J649">
        <v>96.15</v>
      </c>
      <c r="K649">
        <v>2249.61</v>
      </c>
      <c r="L649" t="s">
        <v>15</v>
      </c>
      <c r="M649" t="str">
        <f t="shared" si="11"/>
        <v>1 to 2 years</v>
      </c>
    </row>
    <row r="650" spans="1:13">
      <c r="A650" t="s">
        <v>674</v>
      </c>
      <c r="B650" t="s">
        <v>21</v>
      </c>
      <c r="C650" t="s">
        <v>15</v>
      </c>
      <c r="D650" t="s">
        <v>16</v>
      </c>
      <c r="E650" t="s">
        <v>15</v>
      </c>
      <c r="F650">
        <v>43</v>
      </c>
      <c r="G650" t="s">
        <v>22</v>
      </c>
      <c r="H650" t="s">
        <v>34</v>
      </c>
      <c r="I650" t="s">
        <v>26</v>
      </c>
      <c r="J650">
        <v>61.16</v>
      </c>
      <c r="K650">
        <v>2442.2399999999998</v>
      </c>
      <c r="L650" t="s">
        <v>15</v>
      </c>
      <c r="M650" t="str">
        <f t="shared" si="11"/>
        <v>3 to 4 years</v>
      </c>
    </row>
    <row r="651" spans="1:13">
      <c r="A651" t="s">
        <v>675</v>
      </c>
      <c r="B651" t="s">
        <v>14</v>
      </c>
      <c r="C651" t="s">
        <v>15</v>
      </c>
      <c r="D651" t="s">
        <v>16</v>
      </c>
      <c r="E651" t="s">
        <v>15</v>
      </c>
      <c r="F651">
        <v>59</v>
      </c>
      <c r="G651" t="s">
        <v>22</v>
      </c>
      <c r="H651" t="s">
        <v>18</v>
      </c>
      <c r="I651" t="s">
        <v>26</v>
      </c>
      <c r="J651">
        <v>79.63</v>
      </c>
      <c r="K651">
        <v>4647.26</v>
      </c>
      <c r="L651" t="s">
        <v>15</v>
      </c>
      <c r="M651" t="str">
        <f t="shared" si="11"/>
        <v>4 to 5 years</v>
      </c>
    </row>
    <row r="652" spans="1:13">
      <c r="A652" t="s">
        <v>676</v>
      </c>
      <c r="B652" t="s">
        <v>14</v>
      </c>
      <c r="C652" t="s">
        <v>15</v>
      </c>
      <c r="D652" t="s">
        <v>15</v>
      </c>
      <c r="E652" t="s">
        <v>16</v>
      </c>
      <c r="F652">
        <v>61</v>
      </c>
      <c r="G652" t="s">
        <v>17</v>
      </c>
      <c r="H652" t="s">
        <v>18</v>
      </c>
      <c r="I652" t="s">
        <v>19</v>
      </c>
      <c r="J652">
        <v>73.22</v>
      </c>
      <c r="K652">
        <v>4592.5</v>
      </c>
      <c r="L652" t="s">
        <v>16</v>
      </c>
      <c r="M652" t="str">
        <f t="shared" si="11"/>
        <v>5 to 6 years</v>
      </c>
    </row>
    <row r="653" spans="1:13">
      <c r="A653" t="s">
        <v>677</v>
      </c>
      <c r="B653" t="s">
        <v>21</v>
      </c>
      <c r="C653" t="s">
        <v>15</v>
      </c>
      <c r="D653" t="s">
        <v>16</v>
      </c>
      <c r="E653" t="s">
        <v>15</v>
      </c>
      <c r="F653">
        <v>16</v>
      </c>
      <c r="G653" t="s">
        <v>22</v>
      </c>
      <c r="H653" t="s">
        <v>34</v>
      </c>
      <c r="I653" t="s">
        <v>36</v>
      </c>
      <c r="J653">
        <v>54.03</v>
      </c>
      <c r="K653">
        <v>747.91</v>
      </c>
      <c r="L653" t="s">
        <v>15</v>
      </c>
      <c r="M653" t="str">
        <f t="shared" si="11"/>
        <v>1 to 2 years</v>
      </c>
    </row>
    <row r="654" spans="1:13">
      <c r="A654" t="s">
        <v>678</v>
      </c>
      <c r="B654" t="s">
        <v>14</v>
      </c>
      <c r="C654" t="s">
        <v>15</v>
      </c>
      <c r="D654" t="s">
        <v>15</v>
      </c>
      <c r="E654" t="s">
        <v>15</v>
      </c>
      <c r="F654">
        <v>64</v>
      </c>
      <c r="G654" t="s">
        <v>17</v>
      </c>
      <c r="H654" t="s">
        <v>18</v>
      </c>
      <c r="I654" t="s">
        <v>26</v>
      </c>
      <c r="J654">
        <v>37.54</v>
      </c>
      <c r="K654">
        <v>2419.5700000000002</v>
      </c>
      <c r="L654" t="s">
        <v>15</v>
      </c>
      <c r="M654" t="str">
        <f t="shared" si="11"/>
        <v>5 to 6 years</v>
      </c>
    </row>
    <row r="655" spans="1:13">
      <c r="A655" t="s">
        <v>679</v>
      </c>
      <c r="B655" t="s">
        <v>14</v>
      </c>
      <c r="C655" t="s">
        <v>15</v>
      </c>
      <c r="D655" t="s">
        <v>16</v>
      </c>
      <c r="E655" t="s">
        <v>16</v>
      </c>
      <c r="F655">
        <v>56</v>
      </c>
      <c r="G655" t="s">
        <v>25</v>
      </c>
      <c r="H655" t="s">
        <v>34</v>
      </c>
      <c r="I655" t="s">
        <v>36</v>
      </c>
      <c r="J655">
        <v>57.9</v>
      </c>
      <c r="K655">
        <v>3162.01</v>
      </c>
      <c r="L655" t="s">
        <v>15</v>
      </c>
      <c r="M655" t="str">
        <f t="shared" si="11"/>
        <v>4 to 5 years</v>
      </c>
    </row>
    <row r="656" spans="1:13">
      <c r="A656" t="s">
        <v>680</v>
      </c>
      <c r="B656" t="s">
        <v>21</v>
      </c>
      <c r="C656" t="s">
        <v>15</v>
      </c>
      <c r="D656" t="s">
        <v>15</v>
      </c>
      <c r="E656" t="s">
        <v>15</v>
      </c>
      <c r="F656">
        <v>54</v>
      </c>
      <c r="G656" t="s">
        <v>17</v>
      </c>
      <c r="H656" t="s">
        <v>18</v>
      </c>
      <c r="I656" t="s">
        <v>26</v>
      </c>
      <c r="J656">
        <v>64.400000000000006</v>
      </c>
      <c r="K656">
        <v>3420.88</v>
      </c>
      <c r="L656" t="s">
        <v>15</v>
      </c>
      <c r="M656" t="str">
        <f t="shared" si="11"/>
        <v>4 to 5 years</v>
      </c>
    </row>
    <row r="657" spans="1:13">
      <c r="A657" t="s">
        <v>681</v>
      </c>
      <c r="B657" t="s">
        <v>14</v>
      </c>
      <c r="C657" t="s">
        <v>15</v>
      </c>
      <c r="D657" t="s">
        <v>15</v>
      </c>
      <c r="E657" t="s">
        <v>15</v>
      </c>
      <c r="F657">
        <v>52</v>
      </c>
      <c r="G657" t="s">
        <v>22</v>
      </c>
      <c r="H657" t="s">
        <v>34</v>
      </c>
      <c r="I657" t="s">
        <v>26</v>
      </c>
      <c r="J657">
        <v>72.87</v>
      </c>
      <c r="K657">
        <v>3942.55</v>
      </c>
      <c r="L657" t="s">
        <v>15</v>
      </c>
      <c r="M657" t="str">
        <f t="shared" si="11"/>
        <v>4 to 5 years</v>
      </c>
    </row>
    <row r="658" spans="1:13">
      <c r="A658" t="s">
        <v>682</v>
      </c>
      <c r="B658" t="s">
        <v>14</v>
      </c>
      <c r="C658" t="s">
        <v>16</v>
      </c>
      <c r="D658" t="s">
        <v>16</v>
      </c>
      <c r="E658" t="s">
        <v>15</v>
      </c>
      <c r="F658">
        <v>55</v>
      </c>
      <c r="G658" t="s">
        <v>22</v>
      </c>
      <c r="H658" t="s">
        <v>15</v>
      </c>
      <c r="I658" t="s">
        <v>23</v>
      </c>
      <c r="J658">
        <v>66.02</v>
      </c>
      <c r="K658">
        <v>3640.98</v>
      </c>
      <c r="L658" t="s">
        <v>15</v>
      </c>
      <c r="M658" t="str">
        <f t="shared" si="11"/>
        <v>4 to 5 years</v>
      </c>
    </row>
    <row r="659" spans="1:13">
      <c r="A659" t="s">
        <v>683</v>
      </c>
      <c r="B659" t="s">
        <v>14</v>
      </c>
      <c r="C659" t="s">
        <v>15</v>
      </c>
      <c r="D659" t="s">
        <v>15</v>
      </c>
      <c r="E659" t="s">
        <v>15</v>
      </c>
      <c r="F659">
        <v>8</v>
      </c>
      <c r="G659" t="s">
        <v>22</v>
      </c>
      <c r="H659" t="s">
        <v>18</v>
      </c>
      <c r="I659" t="s">
        <v>19</v>
      </c>
      <c r="J659">
        <v>59.95</v>
      </c>
      <c r="K659">
        <v>520.96</v>
      </c>
      <c r="L659" t="s">
        <v>16</v>
      </c>
      <c r="M659" t="str">
        <f t="shared" si="11"/>
        <v>Up to 1 year</v>
      </c>
    </row>
    <row r="660" spans="1:13">
      <c r="A660" t="s">
        <v>684</v>
      </c>
      <c r="B660" t="s">
        <v>21</v>
      </c>
      <c r="C660" t="s">
        <v>15</v>
      </c>
      <c r="D660" t="s">
        <v>15</v>
      </c>
      <c r="E660" t="s">
        <v>16</v>
      </c>
      <c r="F660">
        <v>21</v>
      </c>
      <c r="G660" t="s">
        <v>22</v>
      </c>
      <c r="H660" t="s">
        <v>34</v>
      </c>
      <c r="I660" t="s">
        <v>36</v>
      </c>
      <c r="J660">
        <v>79.34</v>
      </c>
      <c r="K660">
        <v>1657.14</v>
      </c>
      <c r="L660" t="s">
        <v>15</v>
      </c>
      <c r="M660" t="str">
        <f t="shared" si="11"/>
        <v>1 to 2 years</v>
      </c>
    </row>
    <row r="661" spans="1:13">
      <c r="A661" t="s">
        <v>685</v>
      </c>
      <c r="B661" t="s">
        <v>21</v>
      </c>
      <c r="C661" t="s">
        <v>16</v>
      </c>
      <c r="D661" t="s">
        <v>16</v>
      </c>
      <c r="E661" t="s">
        <v>15</v>
      </c>
      <c r="F661">
        <v>12</v>
      </c>
      <c r="G661" t="s">
        <v>22</v>
      </c>
      <c r="H661" t="s">
        <v>34</v>
      </c>
      <c r="I661" t="s">
        <v>23</v>
      </c>
      <c r="J661">
        <v>46.09</v>
      </c>
      <c r="K661">
        <v>431.87</v>
      </c>
      <c r="L661" t="s">
        <v>15</v>
      </c>
      <c r="M661" t="str">
        <f t="shared" si="11"/>
        <v>Up to 1 year</v>
      </c>
    </row>
    <row r="662" spans="1:13">
      <c r="A662" t="s">
        <v>686</v>
      </c>
      <c r="B662" t="s">
        <v>21</v>
      </c>
      <c r="C662" t="s">
        <v>15</v>
      </c>
      <c r="D662" t="s">
        <v>15</v>
      </c>
      <c r="E662" t="s">
        <v>15</v>
      </c>
      <c r="F662">
        <v>47</v>
      </c>
      <c r="G662" t="s">
        <v>17</v>
      </c>
      <c r="H662" t="s">
        <v>18</v>
      </c>
      <c r="I662" t="s">
        <v>23</v>
      </c>
      <c r="J662">
        <v>76.87</v>
      </c>
      <c r="K662">
        <v>3518.1</v>
      </c>
      <c r="L662" t="s">
        <v>15</v>
      </c>
      <c r="M662" t="str">
        <f t="shared" si="11"/>
        <v>3 to 4 years</v>
      </c>
    </row>
    <row r="663" spans="1:13">
      <c r="A663" t="s">
        <v>687</v>
      </c>
      <c r="B663" t="s">
        <v>14</v>
      </c>
      <c r="C663" t="s">
        <v>16</v>
      </c>
      <c r="D663" t="s">
        <v>15</v>
      </c>
      <c r="E663" t="s">
        <v>15</v>
      </c>
      <c r="F663">
        <v>17</v>
      </c>
      <c r="G663" t="s">
        <v>22</v>
      </c>
      <c r="H663" t="s">
        <v>15</v>
      </c>
      <c r="I663" t="s">
        <v>23</v>
      </c>
      <c r="J663">
        <v>39.94</v>
      </c>
      <c r="K663">
        <v>773.25</v>
      </c>
      <c r="L663" t="s">
        <v>16</v>
      </c>
      <c r="M663" t="str">
        <f t="shared" si="11"/>
        <v>1 to 2 years</v>
      </c>
    </row>
    <row r="664" spans="1:13">
      <c r="A664" t="s">
        <v>688</v>
      </c>
      <c r="B664" t="s">
        <v>14</v>
      </c>
      <c r="C664" t="s">
        <v>15</v>
      </c>
      <c r="D664" t="s">
        <v>15</v>
      </c>
      <c r="E664" t="s">
        <v>16</v>
      </c>
      <c r="F664">
        <v>39</v>
      </c>
      <c r="G664" t="s">
        <v>22</v>
      </c>
      <c r="H664" t="s">
        <v>34</v>
      </c>
      <c r="I664" t="s">
        <v>23</v>
      </c>
      <c r="J664">
        <v>88.65</v>
      </c>
      <c r="K664">
        <v>3469.58</v>
      </c>
      <c r="L664" t="s">
        <v>15</v>
      </c>
      <c r="M664" t="str">
        <f t="shared" si="11"/>
        <v>3 to 4 years</v>
      </c>
    </row>
    <row r="665" spans="1:13">
      <c r="A665" t="s">
        <v>689</v>
      </c>
      <c r="B665" t="s">
        <v>21</v>
      </c>
      <c r="C665" t="s">
        <v>15</v>
      </c>
      <c r="D665" t="s">
        <v>16</v>
      </c>
      <c r="E665" t="s">
        <v>15</v>
      </c>
      <c r="F665">
        <v>16</v>
      </c>
      <c r="G665" t="s">
        <v>17</v>
      </c>
      <c r="H665" t="s">
        <v>34</v>
      </c>
      <c r="I665" t="s">
        <v>36</v>
      </c>
      <c r="J665">
        <v>72.92</v>
      </c>
      <c r="K665">
        <v>1105.0999999999999</v>
      </c>
      <c r="L665" t="s">
        <v>15</v>
      </c>
      <c r="M665" t="str">
        <f t="shared" si="11"/>
        <v>1 to 2 years</v>
      </c>
    </row>
    <row r="666" spans="1:13">
      <c r="A666" t="s">
        <v>690</v>
      </c>
      <c r="B666" t="s">
        <v>14</v>
      </c>
      <c r="C666" t="s">
        <v>15</v>
      </c>
      <c r="D666" t="s">
        <v>16</v>
      </c>
      <c r="E666" t="s">
        <v>15</v>
      </c>
      <c r="F666">
        <v>14</v>
      </c>
      <c r="G666" t="s">
        <v>17</v>
      </c>
      <c r="H666" t="s">
        <v>18</v>
      </c>
      <c r="I666" t="s">
        <v>36</v>
      </c>
      <c r="J666">
        <v>77.25</v>
      </c>
      <c r="K666">
        <v>1079.74</v>
      </c>
      <c r="L666" t="s">
        <v>15</v>
      </c>
      <c r="M666" t="str">
        <f t="shared" si="11"/>
        <v>1 to 2 years</v>
      </c>
    </row>
    <row r="667" spans="1:13">
      <c r="A667" t="s">
        <v>691</v>
      </c>
      <c r="B667" t="s">
        <v>14</v>
      </c>
      <c r="C667" t="s">
        <v>15</v>
      </c>
      <c r="D667" t="s">
        <v>15</v>
      </c>
      <c r="E667" t="s">
        <v>16</v>
      </c>
      <c r="F667">
        <v>14</v>
      </c>
      <c r="G667" t="s">
        <v>22</v>
      </c>
      <c r="H667" t="s">
        <v>18</v>
      </c>
      <c r="I667" t="s">
        <v>19</v>
      </c>
      <c r="J667">
        <v>64.37</v>
      </c>
      <c r="K667">
        <v>954.11</v>
      </c>
      <c r="L667" t="s">
        <v>15</v>
      </c>
      <c r="M667" t="str">
        <f t="shared" si="11"/>
        <v>1 to 2 years</v>
      </c>
    </row>
    <row r="668" spans="1:13">
      <c r="A668" t="s">
        <v>692</v>
      </c>
      <c r="B668" t="s">
        <v>21</v>
      </c>
      <c r="C668" t="s">
        <v>15</v>
      </c>
      <c r="D668" t="s">
        <v>16</v>
      </c>
      <c r="E668" t="s">
        <v>16</v>
      </c>
      <c r="F668">
        <v>62</v>
      </c>
      <c r="G668" t="s">
        <v>25</v>
      </c>
      <c r="H668" t="s">
        <v>18</v>
      </c>
      <c r="I668" t="s">
        <v>23</v>
      </c>
      <c r="J668">
        <v>71.78</v>
      </c>
      <c r="K668">
        <v>4486.72</v>
      </c>
      <c r="L668" t="s">
        <v>15</v>
      </c>
      <c r="M668" t="str">
        <f t="shared" si="11"/>
        <v>5 to 6 years</v>
      </c>
    </row>
    <row r="669" spans="1:13">
      <c r="A669" t="s">
        <v>693</v>
      </c>
      <c r="B669" t="s">
        <v>21</v>
      </c>
      <c r="C669" t="s">
        <v>15</v>
      </c>
      <c r="D669" t="s">
        <v>15</v>
      </c>
      <c r="E669" t="s">
        <v>15</v>
      </c>
      <c r="F669">
        <v>38</v>
      </c>
      <c r="G669" t="s">
        <v>22</v>
      </c>
      <c r="H669" t="s">
        <v>18</v>
      </c>
      <c r="I669" t="s">
        <v>26</v>
      </c>
      <c r="J669">
        <v>125.73</v>
      </c>
      <c r="K669">
        <v>4716.16</v>
      </c>
      <c r="L669" t="s">
        <v>16</v>
      </c>
      <c r="M669" t="str">
        <f t="shared" si="11"/>
        <v>3 to 4 years</v>
      </c>
    </row>
    <row r="670" spans="1:13">
      <c r="A670" t="s">
        <v>694</v>
      </c>
      <c r="B670" t="s">
        <v>14</v>
      </c>
      <c r="C670" t="s">
        <v>16</v>
      </c>
      <c r="D670" t="s">
        <v>15</v>
      </c>
      <c r="E670" t="s">
        <v>15</v>
      </c>
      <c r="F670">
        <v>12</v>
      </c>
      <c r="G670" t="s">
        <v>17</v>
      </c>
      <c r="H670" t="s">
        <v>34</v>
      </c>
      <c r="I670" t="s">
        <v>26</v>
      </c>
      <c r="J670">
        <v>57.47</v>
      </c>
      <c r="K670">
        <v>563.62</v>
      </c>
      <c r="L670" t="s">
        <v>15</v>
      </c>
      <c r="M670" t="str">
        <f t="shared" si="11"/>
        <v>Up to 1 year</v>
      </c>
    </row>
    <row r="671" spans="1:13">
      <c r="A671" t="s">
        <v>695</v>
      </c>
      <c r="B671" t="s">
        <v>14</v>
      </c>
      <c r="C671" t="s">
        <v>15</v>
      </c>
      <c r="D671" t="s">
        <v>15</v>
      </c>
      <c r="E671" t="s">
        <v>15</v>
      </c>
      <c r="F671">
        <v>31</v>
      </c>
      <c r="G671" t="s">
        <v>17</v>
      </c>
      <c r="H671" t="s">
        <v>15</v>
      </c>
      <c r="I671" t="s">
        <v>36</v>
      </c>
      <c r="J671">
        <v>66.989999999999995</v>
      </c>
      <c r="K671">
        <v>2044.13</v>
      </c>
      <c r="L671" t="s">
        <v>15</v>
      </c>
      <c r="M671" t="str">
        <f t="shared" si="11"/>
        <v>2 to 3 years</v>
      </c>
    </row>
    <row r="672" spans="1:13">
      <c r="A672" t="s">
        <v>696</v>
      </c>
      <c r="B672" t="s">
        <v>14</v>
      </c>
      <c r="C672" t="s">
        <v>15</v>
      </c>
      <c r="D672" t="s">
        <v>15</v>
      </c>
      <c r="E672" t="s">
        <v>15</v>
      </c>
      <c r="F672">
        <v>8</v>
      </c>
      <c r="G672" t="s">
        <v>17</v>
      </c>
      <c r="H672" t="s">
        <v>18</v>
      </c>
      <c r="I672" t="s">
        <v>19</v>
      </c>
      <c r="J672">
        <v>77.180000000000007</v>
      </c>
      <c r="K672">
        <v>706.16</v>
      </c>
      <c r="L672" t="s">
        <v>16</v>
      </c>
      <c r="M672" t="str">
        <f t="shared" si="11"/>
        <v>Up to 1 year</v>
      </c>
    </row>
    <row r="673" spans="1:13">
      <c r="A673" t="s">
        <v>697</v>
      </c>
      <c r="B673" t="s">
        <v>21</v>
      </c>
      <c r="C673" t="s">
        <v>15</v>
      </c>
      <c r="D673" t="s">
        <v>15</v>
      </c>
      <c r="E673" t="s">
        <v>15</v>
      </c>
      <c r="F673">
        <v>39</v>
      </c>
      <c r="G673" t="s">
        <v>17</v>
      </c>
      <c r="H673" t="s">
        <v>34</v>
      </c>
      <c r="I673" t="s">
        <v>23</v>
      </c>
      <c r="J673">
        <v>81.27</v>
      </c>
      <c r="K673">
        <v>3237.88</v>
      </c>
      <c r="L673" t="s">
        <v>15</v>
      </c>
      <c r="M673" t="str">
        <f t="shared" si="11"/>
        <v>3 to 4 years</v>
      </c>
    </row>
    <row r="674" spans="1:13">
      <c r="A674" t="s">
        <v>698</v>
      </c>
      <c r="B674" t="s">
        <v>21</v>
      </c>
      <c r="C674" t="s">
        <v>15</v>
      </c>
      <c r="D674" t="s">
        <v>16</v>
      </c>
      <c r="E674" t="s">
        <v>15</v>
      </c>
      <c r="F674">
        <v>19</v>
      </c>
      <c r="G674" t="s">
        <v>22</v>
      </c>
      <c r="H674" t="s">
        <v>18</v>
      </c>
      <c r="I674" t="s">
        <v>19</v>
      </c>
      <c r="J674">
        <v>100.92</v>
      </c>
      <c r="K674">
        <v>1950.31</v>
      </c>
      <c r="L674" t="s">
        <v>16</v>
      </c>
      <c r="M674" t="str">
        <f t="shared" si="11"/>
        <v>1 to 2 years</v>
      </c>
    </row>
    <row r="675" spans="1:13">
      <c r="A675" t="s">
        <v>699</v>
      </c>
      <c r="B675" t="s">
        <v>21</v>
      </c>
      <c r="C675" t="s">
        <v>15</v>
      </c>
      <c r="D675" t="s">
        <v>15</v>
      </c>
      <c r="E675" t="s">
        <v>16</v>
      </c>
      <c r="F675">
        <v>72</v>
      </c>
      <c r="G675" t="s">
        <v>22</v>
      </c>
      <c r="H675" t="s">
        <v>18</v>
      </c>
      <c r="I675" t="s">
        <v>36</v>
      </c>
      <c r="J675">
        <v>71.150000000000006</v>
      </c>
      <c r="K675">
        <v>5109.13</v>
      </c>
      <c r="L675" t="s">
        <v>15</v>
      </c>
      <c r="M675" t="str">
        <f t="shared" si="11"/>
        <v>5 to 6 years</v>
      </c>
    </row>
    <row r="676" spans="1:13">
      <c r="A676" t="s">
        <v>700</v>
      </c>
      <c r="B676" t="s">
        <v>21</v>
      </c>
      <c r="C676" t="s">
        <v>15</v>
      </c>
      <c r="D676" t="s">
        <v>16</v>
      </c>
      <c r="E676" t="s">
        <v>15</v>
      </c>
      <c r="F676">
        <v>62</v>
      </c>
      <c r="G676" t="s">
        <v>17</v>
      </c>
      <c r="H676" t="s">
        <v>34</v>
      </c>
      <c r="I676" t="s">
        <v>26</v>
      </c>
      <c r="J676">
        <v>87.74</v>
      </c>
      <c r="K676">
        <v>5398.54</v>
      </c>
      <c r="L676" t="s">
        <v>15</v>
      </c>
      <c r="M676" t="str">
        <f t="shared" si="11"/>
        <v>5 to 6 years</v>
      </c>
    </row>
    <row r="677" spans="1:13">
      <c r="A677" t="s">
        <v>701</v>
      </c>
      <c r="B677" t="s">
        <v>14</v>
      </c>
      <c r="C677" t="s">
        <v>15</v>
      </c>
      <c r="D677" t="s">
        <v>16</v>
      </c>
      <c r="E677" t="s">
        <v>16</v>
      </c>
      <c r="F677">
        <v>43</v>
      </c>
      <c r="G677" t="s">
        <v>22</v>
      </c>
      <c r="H677" t="s">
        <v>18</v>
      </c>
      <c r="I677" t="s">
        <v>26</v>
      </c>
      <c r="J677">
        <v>140</v>
      </c>
      <c r="K677">
        <v>6007.81</v>
      </c>
      <c r="L677" t="s">
        <v>15</v>
      </c>
      <c r="M677" t="str">
        <f t="shared" si="11"/>
        <v>3 to 4 years</v>
      </c>
    </row>
    <row r="678" spans="1:13">
      <c r="A678" t="s">
        <v>702</v>
      </c>
      <c r="B678" t="s">
        <v>21</v>
      </c>
      <c r="C678" t="s">
        <v>15</v>
      </c>
      <c r="D678" t="s">
        <v>15</v>
      </c>
      <c r="E678" t="s">
        <v>15</v>
      </c>
      <c r="F678">
        <v>37</v>
      </c>
      <c r="G678" t="s">
        <v>25</v>
      </c>
      <c r="H678" t="s">
        <v>34</v>
      </c>
      <c r="I678" t="s">
        <v>23</v>
      </c>
      <c r="J678">
        <v>84.19</v>
      </c>
      <c r="K678">
        <v>3177.57</v>
      </c>
      <c r="L678" t="s">
        <v>15</v>
      </c>
      <c r="M678" t="str">
        <f t="shared" si="11"/>
        <v>3 to 4 years</v>
      </c>
    </row>
    <row r="679" spans="1:13">
      <c r="A679" t="s">
        <v>703</v>
      </c>
      <c r="B679" t="s">
        <v>21</v>
      </c>
      <c r="C679" t="s">
        <v>16</v>
      </c>
      <c r="D679" t="s">
        <v>15</v>
      </c>
      <c r="E679" t="s">
        <v>16</v>
      </c>
      <c r="F679">
        <v>59</v>
      </c>
      <c r="G679" t="s">
        <v>22</v>
      </c>
      <c r="H679" t="s">
        <v>18</v>
      </c>
      <c r="I679" t="s">
        <v>26</v>
      </c>
      <c r="J679">
        <v>120.34</v>
      </c>
      <c r="K679">
        <v>7180.88</v>
      </c>
      <c r="L679" t="s">
        <v>15</v>
      </c>
      <c r="M679" t="str">
        <f t="shared" si="11"/>
        <v>4 to 5 years</v>
      </c>
    </row>
    <row r="680" spans="1:13">
      <c r="A680" t="s">
        <v>704</v>
      </c>
      <c r="B680" t="s">
        <v>21</v>
      </c>
      <c r="C680" t="s">
        <v>15</v>
      </c>
      <c r="D680" t="s">
        <v>16</v>
      </c>
      <c r="E680" t="s">
        <v>16</v>
      </c>
      <c r="F680">
        <v>70</v>
      </c>
      <c r="G680" t="s">
        <v>22</v>
      </c>
      <c r="H680" t="s">
        <v>15</v>
      </c>
      <c r="I680" t="s">
        <v>26</v>
      </c>
      <c r="J680">
        <v>67.03</v>
      </c>
      <c r="K680">
        <v>4671.16</v>
      </c>
      <c r="L680" t="s">
        <v>15</v>
      </c>
      <c r="M680" t="str">
        <f t="shared" si="11"/>
        <v>5 to 6 years</v>
      </c>
    </row>
    <row r="681" spans="1:13">
      <c r="A681" t="s">
        <v>705</v>
      </c>
      <c r="B681" t="s">
        <v>21</v>
      </c>
      <c r="C681" t="s">
        <v>15</v>
      </c>
      <c r="D681" t="s">
        <v>16</v>
      </c>
      <c r="E681" t="s">
        <v>15</v>
      </c>
      <c r="F681">
        <v>47</v>
      </c>
      <c r="G681" t="s">
        <v>22</v>
      </c>
      <c r="H681" t="s">
        <v>34</v>
      </c>
      <c r="I681" t="s">
        <v>23</v>
      </c>
      <c r="J681">
        <v>46.7</v>
      </c>
      <c r="K681">
        <v>2397.8000000000002</v>
      </c>
      <c r="L681" t="s">
        <v>16</v>
      </c>
      <c r="M681" t="str">
        <f t="shared" si="11"/>
        <v>3 to 4 years</v>
      </c>
    </row>
    <row r="682" spans="1:13">
      <c r="A682" t="s">
        <v>706</v>
      </c>
      <c r="B682" t="s">
        <v>21</v>
      </c>
      <c r="C682" t="s">
        <v>15</v>
      </c>
      <c r="D682" t="s">
        <v>16</v>
      </c>
      <c r="E682" t="s">
        <v>16</v>
      </c>
      <c r="F682">
        <v>17</v>
      </c>
      <c r="G682" t="s">
        <v>22</v>
      </c>
      <c r="H682" t="s">
        <v>18</v>
      </c>
      <c r="I682" t="s">
        <v>19</v>
      </c>
      <c r="J682">
        <v>86.89</v>
      </c>
      <c r="K682">
        <v>1484.52</v>
      </c>
      <c r="L682" t="s">
        <v>15</v>
      </c>
      <c r="M682" t="str">
        <f t="shared" si="11"/>
        <v>1 to 2 years</v>
      </c>
    </row>
    <row r="683" spans="1:13">
      <c r="A683" t="s">
        <v>707</v>
      </c>
      <c r="B683" t="s">
        <v>14</v>
      </c>
      <c r="C683" t="s">
        <v>15</v>
      </c>
      <c r="D683" t="s">
        <v>15</v>
      </c>
      <c r="E683" t="s">
        <v>15</v>
      </c>
      <c r="F683">
        <v>15</v>
      </c>
      <c r="G683" t="s">
        <v>17</v>
      </c>
      <c r="H683" t="s">
        <v>18</v>
      </c>
      <c r="I683" t="s">
        <v>23</v>
      </c>
      <c r="J683">
        <v>71.739999999999995</v>
      </c>
      <c r="K683">
        <v>1048.3399999999999</v>
      </c>
      <c r="L683" t="s">
        <v>15</v>
      </c>
      <c r="M683" t="str">
        <f t="shared" si="11"/>
        <v>1 to 2 years</v>
      </c>
    </row>
    <row r="684" spans="1:13">
      <c r="A684" t="s">
        <v>708</v>
      </c>
      <c r="B684" t="s">
        <v>14</v>
      </c>
      <c r="C684" t="s">
        <v>15</v>
      </c>
      <c r="D684" t="s">
        <v>16</v>
      </c>
      <c r="E684" t="s">
        <v>16</v>
      </c>
      <c r="F684">
        <v>54</v>
      </c>
      <c r="G684" t="s">
        <v>17</v>
      </c>
      <c r="H684" t="s">
        <v>15</v>
      </c>
      <c r="I684" t="s">
        <v>23</v>
      </c>
      <c r="J684">
        <v>40.1</v>
      </c>
      <c r="K684">
        <v>2283.4499999999998</v>
      </c>
      <c r="L684" t="s">
        <v>15</v>
      </c>
      <c r="M684" t="str">
        <f t="shared" si="11"/>
        <v>4 to 5 years</v>
      </c>
    </row>
    <row r="685" spans="1:13">
      <c r="A685" t="s">
        <v>709</v>
      </c>
      <c r="B685" t="s">
        <v>21</v>
      </c>
      <c r="C685" t="s">
        <v>15</v>
      </c>
      <c r="D685" t="s">
        <v>15</v>
      </c>
      <c r="E685" t="s">
        <v>15</v>
      </c>
      <c r="F685">
        <v>38</v>
      </c>
      <c r="G685" t="s">
        <v>17</v>
      </c>
      <c r="H685" t="s">
        <v>18</v>
      </c>
      <c r="I685" t="s">
        <v>23</v>
      </c>
      <c r="J685">
        <v>78.19</v>
      </c>
      <c r="K685">
        <v>2808.16</v>
      </c>
      <c r="L685" t="s">
        <v>15</v>
      </c>
      <c r="M685" t="str">
        <f t="shared" si="11"/>
        <v>3 to 4 years</v>
      </c>
    </row>
    <row r="686" spans="1:13">
      <c r="A686" t="s">
        <v>710</v>
      </c>
      <c r="B686" t="s">
        <v>14</v>
      </c>
      <c r="C686" t="s">
        <v>16</v>
      </c>
      <c r="D686" t="s">
        <v>15</v>
      </c>
      <c r="E686" t="s">
        <v>15</v>
      </c>
      <c r="F686">
        <v>67</v>
      </c>
      <c r="G686" t="s">
        <v>25</v>
      </c>
      <c r="H686" t="s">
        <v>18</v>
      </c>
      <c r="I686" t="s">
        <v>23</v>
      </c>
      <c r="J686">
        <v>76.13</v>
      </c>
      <c r="K686">
        <v>5139.1099999999997</v>
      </c>
      <c r="L686" t="s">
        <v>15</v>
      </c>
      <c r="M686" t="str">
        <f t="shared" si="11"/>
        <v>5 to 6 years</v>
      </c>
    </row>
    <row r="687" spans="1:13">
      <c r="A687" t="s">
        <v>711</v>
      </c>
      <c r="B687" t="s">
        <v>21</v>
      </c>
      <c r="C687" t="s">
        <v>15</v>
      </c>
      <c r="D687" t="s">
        <v>15</v>
      </c>
      <c r="E687" t="s">
        <v>16</v>
      </c>
      <c r="F687">
        <v>58</v>
      </c>
      <c r="G687" t="s">
        <v>25</v>
      </c>
      <c r="H687" t="s">
        <v>18</v>
      </c>
      <c r="I687" t="s">
        <v>19</v>
      </c>
      <c r="J687">
        <v>53.5</v>
      </c>
      <c r="K687">
        <v>3097.18</v>
      </c>
      <c r="L687" t="s">
        <v>15</v>
      </c>
      <c r="M687" t="str">
        <f t="shared" si="11"/>
        <v>4 to 5 years</v>
      </c>
    </row>
    <row r="688" spans="1:13">
      <c r="A688" t="s">
        <v>712</v>
      </c>
      <c r="B688" t="s">
        <v>21</v>
      </c>
      <c r="C688" t="s">
        <v>15</v>
      </c>
      <c r="D688" t="s">
        <v>16</v>
      </c>
      <c r="E688" t="s">
        <v>16</v>
      </c>
      <c r="F688">
        <v>61</v>
      </c>
      <c r="G688" t="s">
        <v>25</v>
      </c>
      <c r="H688" t="s">
        <v>15</v>
      </c>
      <c r="I688" t="s">
        <v>23</v>
      </c>
      <c r="J688">
        <v>122.71</v>
      </c>
      <c r="K688">
        <v>7601.16</v>
      </c>
      <c r="L688" t="s">
        <v>15</v>
      </c>
      <c r="M688" t="str">
        <f t="shared" si="11"/>
        <v>5 to 6 years</v>
      </c>
    </row>
    <row r="689" spans="1:13">
      <c r="A689" t="s">
        <v>713</v>
      </c>
      <c r="B689" t="s">
        <v>14</v>
      </c>
      <c r="C689" t="s">
        <v>16</v>
      </c>
      <c r="D689" t="s">
        <v>15</v>
      </c>
      <c r="E689" t="s">
        <v>15</v>
      </c>
      <c r="F689">
        <v>12</v>
      </c>
      <c r="G689" t="s">
        <v>22</v>
      </c>
      <c r="H689" t="s">
        <v>15</v>
      </c>
      <c r="I689" t="s">
        <v>23</v>
      </c>
      <c r="J689">
        <v>75.2</v>
      </c>
      <c r="K689">
        <v>950.79</v>
      </c>
      <c r="L689" t="s">
        <v>16</v>
      </c>
      <c r="M689" t="str">
        <f t="shared" si="11"/>
        <v>Up to 1 year</v>
      </c>
    </row>
    <row r="690" spans="1:13">
      <c r="A690" t="s">
        <v>714</v>
      </c>
      <c r="B690" t="s">
        <v>14</v>
      </c>
      <c r="C690" t="s">
        <v>15</v>
      </c>
      <c r="D690" t="s">
        <v>15</v>
      </c>
      <c r="E690" t="s">
        <v>15</v>
      </c>
      <c r="F690">
        <v>5</v>
      </c>
      <c r="G690" t="s">
        <v>17</v>
      </c>
      <c r="H690" t="s">
        <v>34</v>
      </c>
      <c r="I690" t="s">
        <v>36</v>
      </c>
      <c r="J690">
        <v>76.11</v>
      </c>
      <c r="K690">
        <v>391.68</v>
      </c>
      <c r="L690" t="s">
        <v>15</v>
      </c>
      <c r="M690" t="str">
        <f t="shared" si="11"/>
        <v>Up to 1 year</v>
      </c>
    </row>
    <row r="691" spans="1:13">
      <c r="A691" t="s">
        <v>715</v>
      </c>
      <c r="B691" t="s">
        <v>21</v>
      </c>
      <c r="C691" t="s">
        <v>15</v>
      </c>
      <c r="D691" t="s">
        <v>15</v>
      </c>
      <c r="E691" t="s">
        <v>15</v>
      </c>
      <c r="F691">
        <v>59</v>
      </c>
      <c r="G691" t="s">
        <v>22</v>
      </c>
      <c r="H691" t="s">
        <v>18</v>
      </c>
      <c r="I691" t="s">
        <v>26</v>
      </c>
      <c r="J691">
        <v>82.25</v>
      </c>
      <c r="K691">
        <v>4905.76</v>
      </c>
      <c r="L691" t="s">
        <v>15</v>
      </c>
      <c r="M691" t="str">
        <f t="shared" si="11"/>
        <v>4 to 5 years</v>
      </c>
    </row>
    <row r="692" spans="1:13">
      <c r="A692" t="s">
        <v>716</v>
      </c>
      <c r="B692" t="s">
        <v>21</v>
      </c>
      <c r="C692" t="s">
        <v>16</v>
      </c>
      <c r="D692" t="s">
        <v>15</v>
      </c>
      <c r="E692" t="s">
        <v>15</v>
      </c>
      <c r="F692">
        <v>13</v>
      </c>
      <c r="G692" t="s">
        <v>22</v>
      </c>
      <c r="H692" t="s">
        <v>18</v>
      </c>
      <c r="I692" t="s">
        <v>26</v>
      </c>
      <c r="J692">
        <v>110.06</v>
      </c>
      <c r="K692">
        <v>1346.33</v>
      </c>
      <c r="L692" t="s">
        <v>16</v>
      </c>
      <c r="M692" t="str">
        <f t="shared" si="11"/>
        <v>1 to 2 years</v>
      </c>
    </row>
    <row r="693" spans="1:13">
      <c r="A693" t="s">
        <v>717</v>
      </c>
      <c r="B693" t="s">
        <v>21</v>
      </c>
      <c r="C693" t="s">
        <v>15</v>
      </c>
      <c r="D693" t="s">
        <v>15</v>
      </c>
      <c r="E693" t="s">
        <v>15</v>
      </c>
      <c r="F693">
        <v>53</v>
      </c>
      <c r="G693" t="s">
        <v>17</v>
      </c>
      <c r="H693" t="s">
        <v>18</v>
      </c>
      <c r="I693" t="s">
        <v>19</v>
      </c>
      <c r="J693">
        <v>131.88999999999999</v>
      </c>
      <c r="K693">
        <v>7067.52</v>
      </c>
      <c r="L693" t="s">
        <v>15</v>
      </c>
      <c r="M693" t="str">
        <f t="shared" si="11"/>
        <v>4 to 5 years</v>
      </c>
    </row>
    <row r="694" spans="1:13">
      <c r="A694" t="s">
        <v>718</v>
      </c>
      <c r="B694" t="s">
        <v>14</v>
      </c>
      <c r="C694" t="s">
        <v>15</v>
      </c>
      <c r="D694" t="s">
        <v>16</v>
      </c>
      <c r="E694" t="s">
        <v>16</v>
      </c>
      <c r="F694">
        <v>3</v>
      </c>
      <c r="G694" t="s">
        <v>22</v>
      </c>
      <c r="H694" t="s">
        <v>18</v>
      </c>
      <c r="I694" t="s">
        <v>26</v>
      </c>
      <c r="J694">
        <v>97.13</v>
      </c>
      <c r="K694">
        <v>183.82</v>
      </c>
      <c r="L694" t="s">
        <v>15</v>
      </c>
      <c r="M694" t="str">
        <f t="shared" si="11"/>
        <v>Up to 1 year</v>
      </c>
    </row>
    <row r="695" spans="1:13">
      <c r="A695" t="s">
        <v>719</v>
      </c>
      <c r="B695" t="s">
        <v>21</v>
      </c>
      <c r="C695" t="s">
        <v>15</v>
      </c>
      <c r="D695" t="s">
        <v>15</v>
      </c>
      <c r="E695" t="s">
        <v>15</v>
      </c>
      <c r="F695">
        <v>38</v>
      </c>
      <c r="G695" t="s">
        <v>22</v>
      </c>
      <c r="H695" t="s">
        <v>18</v>
      </c>
      <c r="I695" t="s">
        <v>23</v>
      </c>
      <c r="J695">
        <v>83.03</v>
      </c>
      <c r="K695">
        <v>3183.82</v>
      </c>
      <c r="L695" t="s">
        <v>15</v>
      </c>
      <c r="M695" t="str">
        <f t="shared" si="11"/>
        <v>3 to 4 years</v>
      </c>
    </row>
    <row r="696" spans="1:13">
      <c r="A696" t="s">
        <v>720</v>
      </c>
      <c r="B696" t="s">
        <v>21</v>
      </c>
      <c r="C696" t="s">
        <v>16</v>
      </c>
      <c r="D696" t="s">
        <v>15</v>
      </c>
      <c r="E696" t="s">
        <v>15</v>
      </c>
      <c r="F696">
        <v>71</v>
      </c>
      <c r="G696" t="s">
        <v>22</v>
      </c>
      <c r="H696" t="s">
        <v>15</v>
      </c>
      <c r="I696" t="s">
        <v>36</v>
      </c>
      <c r="J696">
        <v>91.82</v>
      </c>
      <c r="K696">
        <v>6522.07</v>
      </c>
      <c r="L696" t="s">
        <v>15</v>
      </c>
      <c r="M696" t="str">
        <f t="shared" si="11"/>
        <v>5 to 6 years</v>
      </c>
    </row>
    <row r="697" spans="1:13">
      <c r="A697" t="s">
        <v>721</v>
      </c>
      <c r="B697" t="s">
        <v>21</v>
      </c>
      <c r="C697" t="s">
        <v>15</v>
      </c>
      <c r="D697" t="s">
        <v>16</v>
      </c>
      <c r="E697" t="s">
        <v>15</v>
      </c>
      <c r="F697">
        <v>24</v>
      </c>
      <c r="G697" t="s">
        <v>22</v>
      </c>
      <c r="H697" t="s">
        <v>34</v>
      </c>
      <c r="I697" t="s">
        <v>23</v>
      </c>
      <c r="J697">
        <v>73.56</v>
      </c>
      <c r="K697">
        <v>1624.4</v>
      </c>
      <c r="L697" t="s">
        <v>15</v>
      </c>
      <c r="M697" t="str">
        <f t="shared" si="11"/>
        <v>1 to 2 years</v>
      </c>
    </row>
    <row r="698" spans="1:13">
      <c r="A698" t="s">
        <v>722</v>
      </c>
      <c r="B698" t="s">
        <v>14</v>
      </c>
      <c r="C698" t="s">
        <v>15</v>
      </c>
      <c r="D698" t="s">
        <v>15</v>
      </c>
      <c r="E698" t="s">
        <v>15</v>
      </c>
      <c r="F698">
        <v>31</v>
      </c>
      <c r="G698" t="s">
        <v>25</v>
      </c>
      <c r="H698" t="s">
        <v>34</v>
      </c>
      <c r="I698" t="s">
        <v>26</v>
      </c>
      <c r="J698">
        <v>80.88</v>
      </c>
      <c r="K698">
        <v>2512.8000000000002</v>
      </c>
      <c r="L698" t="s">
        <v>15</v>
      </c>
      <c r="M698" t="str">
        <f t="shared" si="11"/>
        <v>2 to 3 years</v>
      </c>
    </row>
    <row r="699" spans="1:13">
      <c r="A699" t="s">
        <v>723</v>
      </c>
      <c r="B699" t="s">
        <v>21</v>
      </c>
      <c r="C699" t="s">
        <v>15</v>
      </c>
      <c r="D699" t="s">
        <v>16</v>
      </c>
      <c r="E699" t="s">
        <v>15</v>
      </c>
      <c r="F699">
        <v>58</v>
      </c>
      <c r="G699" t="s">
        <v>22</v>
      </c>
      <c r="H699" t="s">
        <v>18</v>
      </c>
      <c r="I699" t="s">
        <v>23</v>
      </c>
      <c r="J699">
        <v>105.03</v>
      </c>
      <c r="K699">
        <v>6114.3</v>
      </c>
      <c r="L699" t="s">
        <v>16</v>
      </c>
      <c r="M699" t="str">
        <f t="shared" si="11"/>
        <v>4 to 5 years</v>
      </c>
    </row>
    <row r="700" spans="1:13">
      <c r="A700" t="s">
        <v>724</v>
      </c>
      <c r="B700" t="s">
        <v>21</v>
      </c>
      <c r="C700" t="s">
        <v>15</v>
      </c>
      <c r="D700" t="s">
        <v>15</v>
      </c>
      <c r="E700" t="s">
        <v>15</v>
      </c>
      <c r="F700">
        <v>62</v>
      </c>
      <c r="G700" t="s">
        <v>22</v>
      </c>
      <c r="H700" t="s">
        <v>34</v>
      </c>
      <c r="I700" t="s">
        <v>26</v>
      </c>
      <c r="J700">
        <v>60.34</v>
      </c>
      <c r="K700">
        <v>3688.69</v>
      </c>
      <c r="L700" t="s">
        <v>16</v>
      </c>
      <c r="M700" t="str">
        <f t="shared" si="11"/>
        <v>5 to 6 years</v>
      </c>
    </row>
    <row r="701" spans="1:13">
      <c r="A701" t="s">
        <v>725</v>
      </c>
      <c r="B701" t="s">
        <v>14</v>
      </c>
      <c r="C701" t="s">
        <v>16</v>
      </c>
      <c r="D701" t="s">
        <v>16</v>
      </c>
      <c r="E701" t="s">
        <v>15</v>
      </c>
      <c r="F701">
        <v>37</v>
      </c>
      <c r="G701" t="s">
        <v>22</v>
      </c>
      <c r="H701" t="s">
        <v>34</v>
      </c>
      <c r="I701" t="s">
        <v>19</v>
      </c>
      <c r="J701">
        <v>20</v>
      </c>
      <c r="K701">
        <v>659.01</v>
      </c>
      <c r="L701" t="s">
        <v>16</v>
      </c>
      <c r="M701" t="str">
        <f t="shared" si="11"/>
        <v>3 to 4 years</v>
      </c>
    </row>
    <row r="702" spans="1:13">
      <c r="A702" t="s">
        <v>726</v>
      </c>
      <c r="B702" t="s">
        <v>21</v>
      </c>
      <c r="C702" t="s">
        <v>15</v>
      </c>
      <c r="D702" t="s">
        <v>16</v>
      </c>
      <c r="E702" t="s">
        <v>15</v>
      </c>
      <c r="F702">
        <v>52</v>
      </c>
      <c r="G702" t="s">
        <v>22</v>
      </c>
      <c r="H702" t="s">
        <v>34</v>
      </c>
      <c r="I702" t="s">
        <v>19</v>
      </c>
      <c r="J702">
        <v>59.12</v>
      </c>
      <c r="K702">
        <v>3113.61</v>
      </c>
      <c r="L702" t="s">
        <v>15</v>
      </c>
      <c r="M702" t="str">
        <f t="shared" si="11"/>
        <v>4 to 5 years</v>
      </c>
    </row>
    <row r="703" spans="1:13">
      <c r="A703" t="s">
        <v>727</v>
      </c>
      <c r="B703" t="s">
        <v>21</v>
      </c>
      <c r="C703" t="s">
        <v>16</v>
      </c>
      <c r="D703" t="s">
        <v>15</v>
      </c>
      <c r="E703" t="s">
        <v>15</v>
      </c>
      <c r="F703">
        <v>66</v>
      </c>
      <c r="G703" t="s">
        <v>25</v>
      </c>
      <c r="H703" t="s">
        <v>18</v>
      </c>
      <c r="I703" t="s">
        <v>23</v>
      </c>
      <c r="J703">
        <v>99.33</v>
      </c>
      <c r="K703">
        <v>6584.77</v>
      </c>
      <c r="L703" t="s">
        <v>15</v>
      </c>
      <c r="M703" t="str">
        <f t="shared" si="11"/>
        <v>5 to 6 years</v>
      </c>
    </row>
    <row r="704" spans="1:13">
      <c r="A704" t="s">
        <v>728</v>
      </c>
      <c r="B704" t="s">
        <v>14</v>
      </c>
      <c r="C704" t="s">
        <v>16</v>
      </c>
      <c r="D704" t="s">
        <v>15</v>
      </c>
      <c r="E704" t="s">
        <v>16</v>
      </c>
      <c r="F704">
        <v>27</v>
      </c>
      <c r="G704" t="s">
        <v>22</v>
      </c>
      <c r="H704" t="s">
        <v>15</v>
      </c>
      <c r="I704" t="s">
        <v>26</v>
      </c>
      <c r="J704">
        <v>72.56</v>
      </c>
      <c r="K704">
        <v>1977.27</v>
      </c>
      <c r="L704" t="s">
        <v>15</v>
      </c>
      <c r="M704" t="str">
        <f t="shared" si="11"/>
        <v>2 to 3 years</v>
      </c>
    </row>
    <row r="705" spans="1:13">
      <c r="A705" t="s">
        <v>729</v>
      </c>
      <c r="B705" t="s">
        <v>21</v>
      </c>
      <c r="C705" t="s">
        <v>15</v>
      </c>
      <c r="D705" t="s">
        <v>15</v>
      </c>
      <c r="E705" t="s">
        <v>16</v>
      </c>
      <c r="F705">
        <v>2</v>
      </c>
      <c r="G705" t="s">
        <v>22</v>
      </c>
      <c r="H705" t="s">
        <v>18</v>
      </c>
      <c r="I705" t="s">
        <v>36</v>
      </c>
      <c r="J705">
        <v>113.57</v>
      </c>
      <c r="K705">
        <v>227.85</v>
      </c>
      <c r="L705" t="s">
        <v>15</v>
      </c>
      <c r="M705" t="str">
        <f t="shared" si="11"/>
        <v>Up to 1 year</v>
      </c>
    </row>
    <row r="706" spans="1:13">
      <c r="A706" t="s">
        <v>730</v>
      </c>
      <c r="B706" t="s">
        <v>14</v>
      </c>
      <c r="C706" t="s">
        <v>15</v>
      </c>
      <c r="D706" t="s">
        <v>16</v>
      </c>
      <c r="E706" t="s">
        <v>15</v>
      </c>
      <c r="F706">
        <v>21</v>
      </c>
      <c r="G706" t="s">
        <v>17</v>
      </c>
      <c r="H706" t="s">
        <v>18</v>
      </c>
      <c r="I706" t="s">
        <v>36</v>
      </c>
      <c r="J706">
        <v>70.08</v>
      </c>
      <c r="K706">
        <v>1426.35</v>
      </c>
      <c r="L706" t="s">
        <v>16</v>
      </c>
      <c r="M706" t="str">
        <f t="shared" si="11"/>
        <v>1 to 2 years</v>
      </c>
    </row>
    <row r="707" spans="1:13">
      <c r="A707" t="s">
        <v>731</v>
      </c>
      <c r="B707" t="s">
        <v>14</v>
      </c>
      <c r="C707" t="s">
        <v>15</v>
      </c>
      <c r="D707" t="s">
        <v>16</v>
      </c>
      <c r="E707" t="s">
        <v>15</v>
      </c>
      <c r="F707">
        <v>37</v>
      </c>
      <c r="G707" t="s">
        <v>25</v>
      </c>
      <c r="H707" t="s">
        <v>34</v>
      </c>
      <c r="I707" t="s">
        <v>23</v>
      </c>
      <c r="J707">
        <v>109.52</v>
      </c>
      <c r="K707">
        <v>4234.01</v>
      </c>
      <c r="L707" t="s">
        <v>15</v>
      </c>
      <c r="M707" t="str">
        <f t="shared" ref="M707:M770" si="12">IF(F707=0,"Just signed",IF(F707&lt;=12,"Up to 1 year",IF(F707&lt;=24,"1 to 2 years",IF(F707&lt;=36,"2 to 3 years",IF(F707&lt;=48,"3 to 4 years",IF(F707&lt;=60,"4 to 5 years","5 to 6 years"))))))</f>
        <v>3 to 4 years</v>
      </c>
    </row>
    <row r="708" spans="1:13">
      <c r="A708" t="s">
        <v>732</v>
      </c>
      <c r="B708" t="s">
        <v>21</v>
      </c>
      <c r="C708" t="s">
        <v>15</v>
      </c>
      <c r="D708" t="s">
        <v>16</v>
      </c>
      <c r="E708" t="s">
        <v>16</v>
      </c>
      <c r="F708">
        <v>71</v>
      </c>
      <c r="G708" t="s">
        <v>17</v>
      </c>
      <c r="H708" t="s">
        <v>18</v>
      </c>
      <c r="I708" t="s">
        <v>19</v>
      </c>
      <c r="J708">
        <v>84.63</v>
      </c>
      <c r="K708">
        <v>5984.86</v>
      </c>
      <c r="L708" t="s">
        <v>15</v>
      </c>
      <c r="M708" t="str">
        <f t="shared" si="12"/>
        <v>5 to 6 years</v>
      </c>
    </row>
    <row r="709" spans="1:13">
      <c r="A709" t="s">
        <v>733</v>
      </c>
      <c r="B709" t="s">
        <v>21</v>
      </c>
      <c r="C709" t="s">
        <v>15</v>
      </c>
      <c r="D709" t="s">
        <v>15</v>
      </c>
      <c r="E709" t="s">
        <v>16</v>
      </c>
      <c r="F709">
        <v>71</v>
      </c>
      <c r="G709" t="s">
        <v>25</v>
      </c>
      <c r="H709" t="s">
        <v>18</v>
      </c>
      <c r="I709" t="s">
        <v>36</v>
      </c>
      <c r="J709">
        <v>95.11</v>
      </c>
      <c r="K709">
        <v>6683.6</v>
      </c>
      <c r="L709" t="s">
        <v>15</v>
      </c>
      <c r="M709" t="str">
        <f t="shared" si="12"/>
        <v>5 to 6 years</v>
      </c>
    </row>
    <row r="710" spans="1:13">
      <c r="A710" t="s">
        <v>734</v>
      </c>
      <c r="B710" t="s">
        <v>21</v>
      </c>
      <c r="C710" t="s">
        <v>15</v>
      </c>
      <c r="D710" t="s">
        <v>16</v>
      </c>
      <c r="E710" t="s">
        <v>16</v>
      </c>
      <c r="F710">
        <v>61</v>
      </c>
      <c r="G710" t="s">
        <v>22</v>
      </c>
      <c r="H710" t="s">
        <v>18</v>
      </c>
      <c r="I710" t="s">
        <v>19</v>
      </c>
      <c r="J710">
        <v>102.59</v>
      </c>
      <c r="K710">
        <v>6262.34</v>
      </c>
      <c r="L710" t="s">
        <v>15</v>
      </c>
      <c r="M710" t="str">
        <f t="shared" si="12"/>
        <v>5 to 6 years</v>
      </c>
    </row>
    <row r="711" spans="1:13">
      <c r="A711" t="s">
        <v>735</v>
      </c>
      <c r="B711" t="s">
        <v>21</v>
      </c>
      <c r="C711" t="s">
        <v>15</v>
      </c>
      <c r="D711" t="s">
        <v>16</v>
      </c>
      <c r="E711" t="s">
        <v>16</v>
      </c>
      <c r="F711">
        <v>56</v>
      </c>
      <c r="G711" t="s">
        <v>22</v>
      </c>
      <c r="H711" t="s">
        <v>34</v>
      </c>
      <c r="I711" t="s">
        <v>26</v>
      </c>
      <c r="J711">
        <v>35.46</v>
      </c>
      <c r="K711">
        <v>1971.28</v>
      </c>
      <c r="L711" t="s">
        <v>15</v>
      </c>
      <c r="M711" t="str">
        <f t="shared" si="12"/>
        <v>4 to 5 years</v>
      </c>
    </row>
    <row r="712" spans="1:13">
      <c r="A712" t="s">
        <v>736</v>
      </c>
      <c r="B712" t="s">
        <v>14</v>
      </c>
      <c r="C712" t="s">
        <v>15</v>
      </c>
      <c r="D712" t="s">
        <v>15</v>
      </c>
      <c r="E712" t="s">
        <v>15</v>
      </c>
      <c r="F712">
        <v>5</v>
      </c>
      <c r="G712" t="s">
        <v>22</v>
      </c>
      <c r="H712" t="s">
        <v>34</v>
      </c>
      <c r="I712" t="s">
        <v>36</v>
      </c>
      <c r="J712">
        <v>44.88</v>
      </c>
      <c r="K712">
        <v>198.68</v>
      </c>
      <c r="L712" t="s">
        <v>15</v>
      </c>
      <c r="M712" t="str">
        <f t="shared" si="12"/>
        <v>Up to 1 year</v>
      </c>
    </row>
    <row r="713" spans="1:13">
      <c r="A713" t="s">
        <v>737</v>
      </c>
      <c r="B713" t="s">
        <v>21</v>
      </c>
      <c r="C713" t="s">
        <v>15</v>
      </c>
      <c r="D713" t="s">
        <v>16</v>
      </c>
      <c r="E713" t="s">
        <v>15</v>
      </c>
      <c r="F713">
        <v>31</v>
      </c>
      <c r="G713" t="s">
        <v>25</v>
      </c>
      <c r="H713" t="s">
        <v>34</v>
      </c>
      <c r="I713" t="s">
        <v>36</v>
      </c>
      <c r="J713">
        <v>44.05</v>
      </c>
      <c r="K713">
        <v>1515.49</v>
      </c>
      <c r="L713" t="s">
        <v>15</v>
      </c>
      <c r="M713" t="str">
        <f t="shared" si="12"/>
        <v>2 to 3 years</v>
      </c>
    </row>
    <row r="714" spans="1:13">
      <c r="A714" t="s">
        <v>738</v>
      </c>
      <c r="B714" t="s">
        <v>14</v>
      </c>
      <c r="C714" t="s">
        <v>15</v>
      </c>
      <c r="D714" t="s">
        <v>16</v>
      </c>
      <c r="E714" t="s">
        <v>15</v>
      </c>
      <c r="F714">
        <v>9</v>
      </c>
      <c r="G714" t="s">
        <v>22</v>
      </c>
      <c r="H714" t="s">
        <v>18</v>
      </c>
      <c r="I714" t="s">
        <v>19</v>
      </c>
      <c r="J714">
        <v>106.81</v>
      </c>
      <c r="K714">
        <v>870.91</v>
      </c>
      <c r="L714" t="s">
        <v>15</v>
      </c>
      <c r="M714" t="str">
        <f t="shared" si="12"/>
        <v>Up to 1 year</v>
      </c>
    </row>
    <row r="715" spans="1:13">
      <c r="A715" t="s">
        <v>739</v>
      </c>
      <c r="B715" t="s">
        <v>21</v>
      </c>
      <c r="C715" t="s">
        <v>15</v>
      </c>
      <c r="D715" t="s">
        <v>15</v>
      </c>
      <c r="E715" t="s">
        <v>15</v>
      </c>
      <c r="F715">
        <v>2</v>
      </c>
      <c r="G715" t="s">
        <v>22</v>
      </c>
      <c r="H715" t="s">
        <v>18</v>
      </c>
      <c r="I715" t="s">
        <v>19</v>
      </c>
      <c r="J715">
        <v>72.36</v>
      </c>
      <c r="K715">
        <v>147.71</v>
      </c>
      <c r="L715" t="s">
        <v>16</v>
      </c>
      <c r="M715" t="str">
        <f t="shared" si="12"/>
        <v>Up to 1 year</v>
      </c>
    </row>
    <row r="716" spans="1:13">
      <c r="A716" t="s">
        <v>740</v>
      </c>
      <c r="B716" t="s">
        <v>21</v>
      </c>
      <c r="C716" t="s">
        <v>15</v>
      </c>
      <c r="D716" t="s">
        <v>16</v>
      </c>
      <c r="E716" t="s">
        <v>16</v>
      </c>
      <c r="F716">
        <v>58</v>
      </c>
      <c r="G716" t="s">
        <v>22</v>
      </c>
      <c r="H716" t="s">
        <v>15</v>
      </c>
      <c r="I716" t="s">
        <v>23</v>
      </c>
      <c r="J716">
        <v>105.69</v>
      </c>
      <c r="K716">
        <v>6045.01</v>
      </c>
      <c r="L716" t="s">
        <v>15</v>
      </c>
      <c r="M716" t="str">
        <f t="shared" si="12"/>
        <v>4 to 5 years</v>
      </c>
    </row>
    <row r="717" spans="1:13">
      <c r="A717" t="s">
        <v>741</v>
      </c>
      <c r="B717" t="s">
        <v>21</v>
      </c>
      <c r="C717" t="s">
        <v>15</v>
      </c>
      <c r="D717" t="s">
        <v>15</v>
      </c>
      <c r="E717" t="s">
        <v>16</v>
      </c>
      <c r="F717">
        <v>48</v>
      </c>
      <c r="G717" t="s">
        <v>22</v>
      </c>
      <c r="H717" t="s">
        <v>18</v>
      </c>
      <c r="I717" t="s">
        <v>26</v>
      </c>
      <c r="J717">
        <v>80.08</v>
      </c>
      <c r="K717">
        <v>3800.56</v>
      </c>
      <c r="L717" t="s">
        <v>15</v>
      </c>
      <c r="M717" t="str">
        <f t="shared" si="12"/>
        <v>3 to 4 years</v>
      </c>
    </row>
    <row r="718" spans="1:13">
      <c r="A718" t="s">
        <v>742</v>
      </c>
      <c r="B718" t="s">
        <v>14</v>
      </c>
      <c r="C718" t="s">
        <v>16</v>
      </c>
      <c r="D718" t="s">
        <v>15</v>
      </c>
      <c r="E718" t="s">
        <v>15</v>
      </c>
      <c r="F718">
        <v>58</v>
      </c>
      <c r="G718" t="s">
        <v>22</v>
      </c>
      <c r="H718" t="s">
        <v>18</v>
      </c>
      <c r="I718" t="s">
        <v>23</v>
      </c>
      <c r="J718">
        <v>43.22</v>
      </c>
      <c r="K718">
        <v>2645.65</v>
      </c>
      <c r="L718" t="s">
        <v>15</v>
      </c>
      <c r="M718" t="str">
        <f t="shared" si="12"/>
        <v>4 to 5 years</v>
      </c>
    </row>
    <row r="719" spans="1:13">
      <c r="A719" t="s">
        <v>743</v>
      </c>
      <c r="B719" t="s">
        <v>21</v>
      </c>
      <c r="C719" t="s">
        <v>15</v>
      </c>
      <c r="D719" t="s">
        <v>15</v>
      </c>
      <c r="E719" t="s">
        <v>15</v>
      </c>
      <c r="F719">
        <v>30</v>
      </c>
      <c r="G719" t="s">
        <v>25</v>
      </c>
      <c r="H719" t="s">
        <v>15</v>
      </c>
      <c r="I719" t="s">
        <v>23</v>
      </c>
      <c r="J719">
        <v>38.19</v>
      </c>
      <c r="K719">
        <v>1168.22</v>
      </c>
      <c r="L719" t="s">
        <v>15</v>
      </c>
      <c r="M719" t="str">
        <f t="shared" si="12"/>
        <v>2 to 3 years</v>
      </c>
    </row>
    <row r="720" spans="1:13">
      <c r="A720" t="s">
        <v>744</v>
      </c>
      <c r="B720" t="s">
        <v>21</v>
      </c>
      <c r="C720" t="s">
        <v>15</v>
      </c>
      <c r="D720" t="s">
        <v>15</v>
      </c>
      <c r="E720" t="s">
        <v>15</v>
      </c>
      <c r="F720">
        <v>68</v>
      </c>
      <c r="G720" t="s">
        <v>22</v>
      </c>
      <c r="H720" t="s">
        <v>34</v>
      </c>
      <c r="I720" t="s">
        <v>19</v>
      </c>
      <c r="J720">
        <v>72.930000000000007</v>
      </c>
      <c r="K720">
        <v>4980.79</v>
      </c>
      <c r="L720" t="s">
        <v>15</v>
      </c>
      <c r="M720" t="str">
        <f t="shared" si="12"/>
        <v>5 to 6 years</v>
      </c>
    </row>
    <row r="721" spans="1:13">
      <c r="A721" t="s">
        <v>745</v>
      </c>
      <c r="B721" t="s">
        <v>21</v>
      </c>
      <c r="C721" t="s">
        <v>15</v>
      </c>
      <c r="D721" t="s">
        <v>15</v>
      </c>
      <c r="E721" t="s">
        <v>16</v>
      </c>
      <c r="F721">
        <v>61</v>
      </c>
      <c r="G721" t="s">
        <v>17</v>
      </c>
      <c r="H721" t="s">
        <v>18</v>
      </c>
      <c r="I721" t="s">
        <v>23</v>
      </c>
      <c r="J721">
        <v>92.88</v>
      </c>
      <c r="K721">
        <v>5590.52</v>
      </c>
      <c r="L721" t="s">
        <v>15</v>
      </c>
      <c r="M721" t="str">
        <f t="shared" si="12"/>
        <v>5 to 6 years</v>
      </c>
    </row>
    <row r="722" spans="1:13">
      <c r="A722" t="s">
        <v>746</v>
      </c>
      <c r="B722" t="s">
        <v>21</v>
      </c>
      <c r="C722" t="s">
        <v>15</v>
      </c>
      <c r="D722" t="s">
        <v>16</v>
      </c>
      <c r="E722" t="s">
        <v>15</v>
      </c>
      <c r="F722">
        <v>51</v>
      </c>
      <c r="G722" t="s">
        <v>17</v>
      </c>
      <c r="H722" t="s">
        <v>15</v>
      </c>
      <c r="I722" t="s">
        <v>26</v>
      </c>
      <c r="J722">
        <v>30.38</v>
      </c>
      <c r="K722">
        <v>1515.41</v>
      </c>
      <c r="L722" t="s">
        <v>15</v>
      </c>
      <c r="M722" t="str">
        <f t="shared" si="12"/>
        <v>4 to 5 years</v>
      </c>
    </row>
    <row r="723" spans="1:13">
      <c r="A723" t="s">
        <v>747</v>
      </c>
      <c r="B723" t="s">
        <v>14</v>
      </c>
      <c r="C723" t="s">
        <v>16</v>
      </c>
      <c r="D723" t="s">
        <v>16</v>
      </c>
      <c r="E723" t="s">
        <v>15</v>
      </c>
      <c r="F723">
        <v>40</v>
      </c>
      <c r="G723" t="s">
        <v>22</v>
      </c>
      <c r="H723" t="s">
        <v>34</v>
      </c>
      <c r="I723" t="s">
        <v>26</v>
      </c>
      <c r="J723">
        <v>84.21</v>
      </c>
      <c r="K723">
        <v>3514.25</v>
      </c>
      <c r="L723" t="s">
        <v>15</v>
      </c>
      <c r="M723" t="str">
        <f t="shared" si="12"/>
        <v>3 to 4 years</v>
      </c>
    </row>
    <row r="724" spans="1:13">
      <c r="A724" t="s">
        <v>748</v>
      </c>
      <c r="B724" t="s">
        <v>21</v>
      </c>
      <c r="C724" t="s">
        <v>15</v>
      </c>
      <c r="D724" t="s">
        <v>15</v>
      </c>
      <c r="E724" t="s">
        <v>15</v>
      </c>
      <c r="F724">
        <v>30</v>
      </c>
      <c r="G724" t="s">
        <v>22</v>
      </c>
      <c r="H724" t="s">
        <v>15</v>
      </c>
      <c r="I724" t="s">
        <v>19</v>
      </c>
      <c r="J724">
        <v>75.89</v>
      </c>
      <c r="K724">
        <v>2316.65</v>
      </c>
      <c r="L724" t="s">
        <v>15</v>
      </c>
      <c r="M724" t="str">
        <f t="shared" si="12"/>
        <v>2 to 3 years</v>
      </c>
    </row>
    <row r="725" spans="1:13">
      <c r="A725" t="s">
        <v>749</v>
      </c>
      <c r="B725" t="s">
        <v>14</v>
      </c>
      <c r="C725" t="s">
        <v>15</v>
      </c>
      <c r="D725" t="s">
        <v>15</v>
      </c>
      <c r="E725" t="s">
        <v>15</v>
      </c>
      <c r="F725">
        <v>21</v>
      </c>
      <c r="G725" t="s">
        <v>22</v>
      </c>
      <c r="H725" t="s">
        <v>15</v>
      </c>
      <c r="I725" t="s">
        <v>19</v>
      </c>
      <c r="J725">
        <v>38.979999999999997</v>
      </c>
      <c r="K725">
        <v>791.4</v>
      </c>
      <c r="L725" t="s">
        <v>15</v>
      </c>
      <c r="M725" t="str">
        <f t="shared" si="12"/>
        <v>1 to 2 years</v>
      </c>
    </row>
    <row r="726" spans="1:13">
      <c r="A726" t="s">
        <v>750</v>
      </c>
      <c r="B726" t="s">
        <v>14</v>
      </c>
      <c r="C726" t="s">
        <v>15</v>
      </c>
      <c r="D726" t="s">
        <v>16</v>
      </c>
      <c r="E726" t="s">
        <v>15</v>
      </c>
      <c r="F726">
        <v>3</v>
      </c>
      <c r="G726" t="s">
        <v>22</v>
      </c>
      <c r="H726" t="s">
        <v>18</v>
      </c>
      <c r="I726" t="s">
        <v>36</v>
      </c>
      <c r="J726">
        <v>129.22999999999999</v>
      </c>
      <c r="K726">
        <v>422.94</v>
      </c>
      <c r="L726" t="s">
        <v>15</v>
      </c>
      <c r="M726" t="str">
        <f t="shared" si="12"/>
        <v>Up to 1 year</v>
      </c>
    </row>
    <row r="727" spans="1:13">
      <c r="A727" t="s">
        <v>751</v>
      </c>
      <c r="B727" t="s">
        <v>14</v>
      </c>
      <c r="C727" t="s">
        <v>15</v>
      </c>
      <c r="D727" t="s">
        <v>15</v>
      </c>
      <c r="E727" t="s">
        <v>15</v>
      </c>
      <c r="F727">
        <v>12</v>
      </c>
      <c r="G727" t="s">
        <v>17</v>
      </c>
      <c r="H727" t="s">
        <v>18</v>
      </c>
      <c r="I727" t="s">
        <v>23</v>
      </c>
      <c r="J727">
        <v>66.680000000000007</v>
      </c>
      <c r="K727">
        <v>821.57</v>
      </c>
      <c r="L727" t="s">
        <v>15</v>
      </c>
      <c r="M727" t="str">
        <f t="shared" si="12"/>
        <v>Up to 1 year</v>
      </c>
    </row>
    <row r="728" spans="1:13">
      <c r="A728" t="s">
        <v>752</v>
      </c>
      <c r="B728" t="s">
        <v>14</v>
      </c>
      <c r="C728" t="s">
        <v>15</v>
      </c>
      <c r="D728" t="s">
        <v>15</v>
      </c>
      <c r="E728" t="s">
        <v>16</v>
      </c>
      <c r="F728">
        <v>44</v>
      </c>
      <c r="G728" t="s">
        <v>22</v>
      </c>
      <c r="H728" t="s">
        <v>18</v>
      </c>
      <c r="I728" t="s">
        <v>26</v>
      </c>
      <c r="J728">
        <v>55</v>
      </c>
      <c r="K728">
        <v>2352.84</v>
      </c>
      <c r="L728" t="s">
        <v>15</v>
      </c>
      <c r="M728" t="str">
        <f t="shared" si="12"/>
        <v>3 to 4 years</v>
      </c>
    </row>
    <row r="729" spans="1:13">
      <c r="A729" t="s">
        <v>753</v>
      </c>
      <c r="B729" t="s">
        <v>14</v>
      </c>
      <c r="C729" t="s">
        <v>15</v>
      </c>
      <c r="D729" t="s">
        <v>15</v>
      </c>
      <c r="E729" t="s">
        <v>16</v>
      </c>
      <c r="F729">
        <v>41</v>
      </c>
      <c r="G729" t="s">
        <v>22</v>
      </c>
      <c r="H729" t="s">
        <v>18</v>
      </c>
      <c r="I729" t="s">
        <v>36</v>
      </c>
      <c r="J729">
        <v>41.77</v>
      </c>
      <c r="K729">
        <v>1683.07</v>
      </c>
      <c r="L729" t="s">
        <v>16</v>
      </c>
      <c r="M729" t="str">
        <f t="shared" si="12"/>
        <v>3 to 4 years</v>
      </c>
    </row>
    <row r="730" spans="1:13">
      <c r="A730" t="s">
        <v>754</v>
      </c>
      <c r="B730" t="s">
        <v>14</v>
      </c>
      <c r="C730" t="s">
        <v>15</v>
      </c>
      <c r="D730" t="s">
        <v>16</v>
      </c>
      <c r="E730" t="s">
        <v>16</v>
      </c>
      <c r="F730">
        <v>48</v>
      </c>
      <c r="G730" t="s">
        <v>22</v>
      </c>
      <c r="H730" t="s">
        <v>34</v>
      </c>
      <c r="I730" t="s">
        <v>19</v>
      </c>
      <c r="J730">
        <v>100.52</v>
      </c>
      <c r="K730">
        <v>5005.32</v>
      </c>
      <c r="L730" t="s">
        <v>15</v>
      </c>
      <c r="M730" t="str">
        <f t="shared" si="12"/>
        <v>3 to 4 years</v>
      </c>
    </row>
    <row r="731" spans="1:13">
      <c r="A731" t="s">
        <v>755</v>
      </c>
      <c r="B731" t="s">
        <v>21</v>
      </c>
      <c r="C731" t="s">
        <v>15</v>
      </c>
      <c r="D731" t="s">
        <v>16</v>
      </c>
      <c r="E731" t="s">
        <v>15</v>
      </c>
      <c r="F731">
        <v>19</v>
      </c>
      <c r="G731" t="s">
        <v>25</v>
      </c>
      <c r="H731" t="s">
        <v>34</v>
      </c>
      <c r="I731" t="s">
        <v>19</v>
      </c>
      <c r="J731">
        <v>70.569999999999993</v>
      </c>
      <c r="K731">
        <v>1372.19</v>
      </c>
      <c r="L731" t="s">
        <v>15</v>
      </c>
      <c r="M731" t="str">
        <f t="shared" si="12"/>
        <v>1 to 2 years</v>
      </c>
    </row>
    <row r="732" spans="1:13">
      <c r="A732" t="s">
        <v>756</v>
      </c>
      <c r="B732" t="s">
        <v>14</v>
      </c>
      <c r="C732" t="s">
        <v>15</v>
      </c>
      <c r="D732" t="s">
        <v>15</v>
      </c>
      <c r="E732" t="s">
        <v>15</v>
      </c>
      <c r="F732">
        <v>53</v>
      </c>
      <c r="G732" t="s">
        <v>25</v>
      </c>
      <c r="H732" t="s">
        <v>34</v>
      </c>
      <c r="I732" t="s">
        <v>36</v>
      </c>
      <c r="J732">
        <v>58.02</v>
      </c>
      <c r="K732">
        <v>2949.54</v>
      </c>
      <c r="L732" t="s">
        <v>15</v>
      </c>
      <c r="M732" t="str">
        <f t="shared" si="12"/>
        <v>4 to 5 years</v>
      </c>
    </row>
    <row r="733" spans="1:13">
      <c r="A733" t="s">
        <v>757</v>
      </c>
      <c r="B733" t="s">
        <v>14</v>
      </c>
      <c r="C733" t="s">
        <v>15</v>
      </c>
      <c r="D733" t="s">
        <v>15</v>
      </c>
      <c r="E733" t="s">
        <v>15</v>
      </c>
      <c r="F733">
        <v>35</v>
      </c>
      <c r="G733" t="s">
        <v>25</v>
      </c>
      <c r="H733" t="s">
        <v>18</v>
      </c>
      <c r="I733" t="s">
        <v>23</v>
      </c>
      <c r="J733">
        <v>43.15</v>
      </c>
      <c r="K733">
        <v>1551.07</v>
      </c>
      <c r="L733" t="s">
        <v>15</v>
      </c>
      <c r="M733" t="str">
        <f t="shared" si="12"/>
        <v>2 to 3 years</v>
      </c>
    </row>
    <row r="734" spans="1:13">
      <c r="A734" t="s">
        <v>758</v>
      </c>
      <c r="B734" t="s">
        <v>14</v>
      </c>
      <c r="C734" t="s">
        <v>15</v>
      </c>
      <c r="D734" t="s">
        <v>16</v>
      </c>
      <c r="E734" t="s">
        <v>16</v>
      </c>
      <c r="F734">
        <v>0</v>
      </c>
      <c r="G734" t="s">
        <v>17</v>
      </c>
      <c r="H734" t="s">
        <v>34</v>
      </c>
      <c r="I734" t="s">
        <v>19</v>
      </c>
      <c r="J734">
        <v>60.27</v>
      </c>
      <c r="K734">
        <v>104.25</v>
      </c>
      <c r="L734" t="s">
        <v>15</v>
      </c>
      <c r="M734" t="str">
        <f t="shared" si="12"/>
        <v>Just signed</v>
      </c>
    </row>
    <row r="735" spans="1:13">
      <c r="A735" t="s">
        <v>759</v>
      </c>
      <c r="B735" t="s">
        <v>21</v>
      </c>
      <c r="C735" t="s">
        <v>16</v>
      </c>
      <c r="D735" t="s">
        <v>16</v>
      </c>
      <c r="E735" t="s">
        <v>15</v>
      </c>
      <c r="F735">
        <v>14</v>
      </c>
      <c r="G735" t="s">
        <v>22</v>
      </c>
      <c r="H735" t="s">
        <v>34</v>
      </c>
      <c r="I735" t="s">
        <v>19</v>
      </c>
      <c r="J735">
        <v>129.54</v>
      </c>
      <c r="K735">
        <v>1741.21</v>
      </c>
      <c r="L735" t="s">
        <v>16</v>
      </c>
      <c r="M735" t="str">
        <f t="shared" si="12"/>
        <v>1 to 2 years</v>
      </c>
    </row>
    <row r="736" spans="1:13">
      <c r="A736" t="s">
        <v>760</v>
      </c>
      <c r="B736" t="s">
        <v>21</v>
      </c>
      <c r="C736" t="s">
        <v>15</v>
      </c>
      <c r="D736" t="s">
        <v>15</v>
      </c>
      <c r="E736" t="s">
        <v>15</v>
      </c>
      <c r="F736">
        <v>16</v>
      </c>
      <c r="G736" t="s">
        <v>17</v>
      </c>
      <c r="H736" t="s">
        <v>34</v>
      </c>
      <c r="I736" t="s">
        <v>23</v>
      </c>
      <c r="J736">
        <v>20</v>
      </c>
      <c r="K736">
        <v>283.45</v>
      </c>
      <c r="L736" t="s">
        <v>15</v>
      </c>
      <c r="M736" t="str">
        <f t="shared" si="12"/>
        <v>1 to 2 years</v>
      </c>
    </row>
    <row r="737" spans="1:13">
      <c r="A737" t="s">
        <v>761</v>
      </c>
      <c r="B737" t="s">
        <v>14</v>
      </c>
      <c r="C737" t="s">
        <v>15</v>
      </c>
      <c r="D737" t="s">
        <v>15</v>
      </c>
      <c r="E737" t="s">
        <v>15</v>
      </c>
      <c r="F737">
        <v>23</v>
      </c>
      <c r="G737" t="s">
        <v>22</v>
      </c>
      <c r="H737" t="s">
        <v>18</v>
      </c>
      <c r="I737" t="s">
        <v>36</v>
      </c>
      <c r="J737">
        <v>64.209999999999994</v>
      </c>
      <c r="K737">
        <v>1593.13</v>
      </c>
      <c r="L737" t="s">
        <v>15</v>
      </c>
      <c r="M737" t="str">
        <f t="shared" si="12"/>
        <v>1 to 2 years</v>
      </c>
    </row>
    <row r="738" spans="1:13">
      <c r="A738" t="s">
        <v>762</v>
      </c>
      <c r="B738" t="s">
        <v>21</v>
      </c>
      <c r="C738" t="s">
        <v>15</v>
      </c>
      <c r="D738" t="s">
        <v>16</v>
      </c>
      <c r="E738" t="s">
        <v>15</v>
      </c>
      <c r="F738">
        <v>57</v>
      </c>
      <c r="G738" t="s">
        <v>17</v>
      </c>
      <c r="H738" t="s">
        <v>15</v>
      </c>
      <c r="I738" t="s">
        <v>36</v>
      </c>
      <c r="J738">
        <v>99.82</v>
      </c>
      <c r="K738">
        <v>5692.53</v>
      </c>
      <c r="L738" t="s">
        <v>15</v>
      </c>
      <c r="M738" t="str">
        <f t="shared" si="12"/>
        <v>4 to 5 years</v>
      </c>
    </row>
    <row r="739" spans="1:13">
      <c r="A739" t="s">
        <v>763</v>
      </c>
      <c r="B739" t="s">
        <v>14</v>
      </c>
      <c r="C739" t="s">
        <v>15</v>
      </c>
      <c r="D739" t="s">
        <v>16</v>
      </c>
      <c r="E739" t="s">
        <v>15</v>
      </c>
      <c r="F739">
        <v>71</v>
      </c>
      <c r="G739" t="s">
        <v>17</v>
      </c>
      <c r="H739" t="s">
        <v>15</v>
      </c>
      <c r="I739" t="s">
        <v>26</v>
      </c>
      <c r="J739">
        <v>86.22</v>
      </c>
      <c r="K739">
        <v>6110.19</v>
      </c>
      <c r="L739" t="s">
        <v>15</v>
      </c>
      <c r="M739" t="str">
        <f t="shared" si="12"/>
        <v>5 to 6 years</v>
      </c>
    </row>
    <row r="740" spans="1:13">
      <c r="A740" t="s">
        <v>764</v>
      </c>
      <c r="B740" t="s">
        <v>14</v>
      </c>
      <c r="C740" t="s">
        <v>15</v>
      </c>
      <c r="D740" t="s">
        <v>16</v>
      </c>
      <c r="E740" t="s">
        <v>15</v>
      </c>
      <c r="F740">
        <v>22</v>
      </c>
      <c r="G740" t="s">
        <v>22</v>
      </c>
      <c r="H740" t="s">
        <v>18</v>
      </c>
      <c r="I740" t="s">
        <v>23</v>
      </c>
      <c r="J740">
        <v>65.73</v>
      </c>
      <c r="K740">
        <v>1339.18</v>
      </c>
      <c r="L740" t="s">
        <v>15</v>
      </c>
      <c r="M740" t="str">
        <f t="shared" si="12"/>
        <v>1 to 2 years</v>
      </c>
    </row>
    <row r="741" spans="1:13">
      <c r="A741" t="s">
        <v>765</v>
      </c>
      <c r="B741" t="s">
        <v>21</v>
      </c>
      <c r="C741" t="s">
        <v>15</v>
      </c>
      <c r="D741" t="s">
        <v>15</v>
      </c>
      <c r="E741" t="s">
        <v>16</v>
      </c>
      <c r="F741">
        <v>45</v>
      </c>
      <c r="G741" t="s">
        <v>17</v>
      </c>
      <c r="H741" t="s">
        <v>15</v>
      </c>
      <c r="I741" t="s">
        <v>23</v>
      </c>
      <c r="J741">
        <v>60.09</v>
      </c>
      <c r="K741">
        <v>2789.7</v>
      </c>
      <c r="L741" t="s">
        <v>15</v>
      </c>
      <c r="M741" t="str">
        <f t="shared" si="12"/>
        <v>3 to 4 years</v>
      </c>
    </row>
    <row r="742" spans="1:13">
      <c r="A742" t="s">
        <v>766</v>
      </c>
      <c r="B742" t="s">
        <v>14</v>
      </c>
      <c r="C742" t="s">
        <v>15</v>
      </c>
      <c r="D742" t="s">
        <v>16</v>
      </c>
      <c r="E742" t="s">
        <v>15</v>
      </c>
      <c r="F742">
        <v>71</v>
      </c>
      <c r="G742" t="s">
        <v>25</v>
      </c>
      <c r="H742" t="s">
        <v>18</v>
      </c>
      <c r="I742" t="s">
        <v>26</v>
      </c>
      <c r="J742">
        <v>91.57</v>
      </c>
      <c r="K742">
        <v>6486.39</v>
      </c>
      <c r="L742" t="s">
        <v>16</v>
      </c>
      <c r="M742" t="str">
        <f t="shared" si="12"/>
        <v>5 to 6 years</v>
      </c>
    </row>
    <row r="743" spans="1:13">
      <c r="A743" t="s">
        <v>767</v>
      </c>
      <c r="B743" t="s">
        <v>21</v>
      </c>
      <c r="C743" t="s">
        <v>15</v>
      </c>
      <c r="D743" t="s">
        <v>15</v>
      </c>
      <c r="E743" t="s">
        <v>16</v>
      </c>
      <c r="F743">
        <v>7</v>
      </c>
      <c r="G743" t="s">
        <v>22</v>
      </c>
      <c r="H743" t="s">
        <v>18</v>
      </c>
      <c r="I743" t="s">
        <v>23</v>
      </c>
      <c r="J743">
        <v>83.35</v>
      </c>
      <c r="K743">
        <v>409.77</v>
      </c>
      <c r="L743" t="s">
        <v>16</v>
      </c>
      <c r="M743" t="str">
        <f t="shared" si="12"/>
        <v>Up to 1 year</v>
      </c>
    </row>
    <row r="744" spans="1:13">
      <c r="A744" t="s">
        <v>768</v>
      </c>
      <c r="B744" t="s">
        <v>21</v>
      </c>
      <c r="C744" t="s">
        <v>15</v>
      </c>
      <c r="D744" t="s">
        <v>16</v>
      </c>
      <c r="E744" t="s">
        <v>16</v>
      </c>
      <c r="F744">
        <v>58</v>
      </c>
      <c r="G744" t="s">
        <v>25</v>
      </c>
      <c r="H744" t="s">
        <v>18</v>
      </c>
      <c r="I744" t="s">
        <v>26</v>
      </c>
      <c r="J744">
        <v>124.61</v>
      </c>
      <c r="K744">
        <v>7101.57</v>
      </c>
      <c r="L744" t="s">
        <v>15</v>
      </c>
      <c r="M744" t="str">
        <f t="shared" si="12"/>
        <v>4 to 5 years</v>
      </c>
    </row>
    <row r="745" spans="1:13">
      <c r="A745" t="s">
        <v>769</v>
      </c>
      <c r="B745" t="s">
        <v>14</v>
      </c>
      <c r="C745" t="s">
        <v>15</v>
      </c>
      <c r="D745" t="s">
        <v>16</v>
      </c>
      <c r="E745" t="s">
        <v>16</v>
      </c>
      <c r="F745">
        <v>58</v>
      </c>
      <c r="G745" t="s">
        <v>22</v>
      </c>
      <c r="H745" t="s">
        <v>34</v>
      </c>
      <c r="I745" t="s">
        <v>19</v>
      </c>
      <c r="J745">
        <v>78.489999999999995</v>
      </c>
      <c r="K745">
        <v>4507.49</v>
      </c>
      <c r="L745" t="s">
        <v>15</v>
      </c>
      <c r="M745" t="str">
        <f t="shared" si="12"/>
        <v>4 to 5 years</v>
      </c>
    </row>
    <row r="746" spans="1:13">
      <c r="A746" t="s">
        <v>770</v>
      </c>
      <c r="B746" t="s">
        <v>14</v>
      </c>
      <c r="C746" t="s">
        <v>15</v>
      </c>
      <c r="D746" t="s">
        <v>16</v>
      </c>
      <c r="E746" t="s">
        <v>15</v>
      </c>
      <c r="F746">
        <v>12</v>
      </c>
      <c r="G746" t="s">
        <v>17</v>
      </c>
      <c r="H746" t="s">
        <v>15</v>
      </c>
      <c r="I746" t="s">
        <v>26</v>
      </c>
      <c r="J746">
        <v>83.39</v>
      </c>
      <c r="K746">
        <v>914.85</v>
      </c>
      <c r="L746" t="s">
        <v>15</v>
      </c>
      <c r="M746" t="str">
        <f t="shared" si="12"/>
        <v>Up to 1 year</v>
      </c>
    </row>
    <row r="747" spans="1:13">
      <c r="A747" t="s">
        <v>771</v>
      </c>
      <c r="B747" t="s">
        <v>21</v>
      </c>
      <c r="C747" t="s">
        <v>15</v>
      </c>
      <c r="D747" t="s">
        <v>16</v>
      </c>
      <c r="E747" t="s">
        <v>15</v>
      </c>
      <c r="F747">
        <v>38</v>
      </c>
      <c r="G747" t="s">
        <v>22</v>
      </c>
      <c r="H747" t="s">
        <v>18</v>
      </c>
      <c r="I747" t="s">
        <v>26</v>
      </c>
      <c r="J747">
        <v>84.54</v>
      </c>
      <c r="K747">
        <v>3139.24</v>
      </c>
      <c r="L747" t="s">
        <v>15</v>
      </c>
      <c r="M747" t="str">
        <f t="shared" si="12"/>
        <v>3 to 4 years</v>
      </c>
    </row>
    <row r="748" spans="1:13">
      <c r="A748" t="s">
        <v>772</v>
      </c>
      <c r="B748" t="s">
        <v>14</v>
      </c>
      <c r="C748" t="s">
        <v>16</v>
      </c>
      <c r="D748" t="s">
        <v>15</v>
      </c>
      <c r="E748" t="s">
        <v>15</v>
      </c>
      <c r="F748">
        <v>27</v>
      </c>
      <c r="G748" t="s">
        <v>22</v>
      </c>
      <c r="H748" t="s">
        <v>18</v>
      </c>
      <c r="I748" t="s">
        <v>19</v>
      </c>
      <c r="J748">
        <v>29.19</v>
      </c>
      <c r="K748">
        <v>975.7</v>
      </c>
      <c r="L748" t="s">
        <v>16</v>
      </c>
      <c r="M748" t="str">
        <f t="shared" si="12"/>
        <v>2 to 3 years</v>
      </c>
    </row>
    <row r="749" spans="1:13">
      <c r="A749" t="s">
        <v>773</v>
      </c>
      <c r="B749" t="s">
        <v>14</v>
      </c>
      <c r="C749" t="s">
        <v>16</v>
      </c>
      <c r="D749" t="s">
        <v>15</v>
      </c>
      <c r="E749" t="s">
        <v>16</v>
      </c>
      <c r="F749">
        <v>60</v>
      </c>
      <c r="G749" t="s">
        <v>25</v>
      </c>
      <c r="H749" t="s">
        <v>18</v>
      </c>
      <c r="I749" t="s">
        <v>23</v>
      </c>
      <c r="J749">
        <v>50.19</v>
      </c>
      <c r="K749">
        <v>3068</v>
      </c>
      <c r="L749" t="s">
        <v>15</v>
      </c>
      <c r="M749" t="str">
        <f t="shared" si="12"/>
        <v>4 to 5 years</v>
      </c>
    </row>
    <row r="750" spans="1:13">
      <c r="A750" t="s">
        <v>774</v>
      </c>
      <c r="B750" t="s">
        <v>14</v>
      </c>
      <c r="C750" t="s">
        <v>15</v>
      </c>
      <c r="D750" t="s">
        <v>16</v>
      </c>
      <c r="E750" t="s">
        <v>15</v>
      </c>
      <c r="F750">
        <v>15</v>
      </c>
      <c r="G750" t="s">
        <v>25</v>
      </c>
      <c r="H750" t="s">
        <v>34</v>
      </c>
      <c r="I750" t="s">
        <v>23</v>
      </c>
      <c r="J750">
        <v>45.38</v>
      </c>
      <c r="K750">
        <v>474.51</v>
      </c>
      <c r="L750" t="s">
        <v>15</v>
      </c>
      <c r="M750" t="str">
        <f t="shared" si="12"/>
        <v>1 to 2 years</v>
      </c>
    </row>
    <row r="751" spans="1:13">
      <c r="A751" t="s">
        <v>775</v>
      </c>
      <c r="B751" t="s">
        <v>21</v>
      </c>
      <c r="C751" t="s">
        <v>15</v>
      </c>
      <c r="D751" t="s">
        <v>15</v>
      </c>
      <c r="E751" t="s">
        <v>15</v>
      </c>
      <c r="F751">
        <v>1</v>
      </c>
      <c r="G751" t="s">
        <v>17</v>
      </c>
      <c r="H751" t="s">
        <v>34</v>
      </c>
      <c r="I751" t="s">
        <v>19</v>
      </c>
      <c r="J751">
        <v>63.77</v>
      </c>
      <c r="K751">
        <v>38.619999999999997</v>
      </c>
      <c r="L751" t="s">
        <v>15</v>
      </c>
      <c r="M751" t="str">
        <f t="shared" si="12"/>
        <v>Up to 1 year</v>
      </c>
    </row>
    <row r="752" spans="1:13">
      <c r="A752" t="s">
        <v>776</v>
      </c>
      <c r="B752" t="s">
        <v>21</v>
      </c>
      <c r="C752" t="s">
        <v>15</v>
      </c>
      <c r="D752" t="s">
        <v>16</v>
      </c>
      <c r="E752" t="s">
        <v>15</v>
      </c>
      <c r="F752">
        <v>16</v>
      </c>
      <c r="G752" t="s">
        <v>22</v>
      </c>
      <c r="H752" t="s">
        <v>18</v>
      </c>
      <c r="I752" t="s">
        <v>26</v>
      </c>
      <c r="J752">
        <v>131.96</v>
      </c>
      <c r="K752">
        <v>2104.1999999999998</v>
      </c>
      <c r="L752" t="s">
        <v>15</v>
      </c>
      <c r="M752" t="str">
        <f t="shared" si="12"/>
        <v>1 to 2 years</v>
      </c>
    </row>
    <row r="753" spans="1:13">
      <c r="A753" t="s">
        <v>777</v>
      </c>
      <c r="B753" t="s">
        <v>14</v>
      </c>
      <c r="C753" t="s">
        <v>15</v>
      </c>
      <c r="D753" t="s">
        <v>16</v>
      </c>
      <c r="E753" t="s">
        <v>15</v>
      </c>
      <c r="F753">
        <v>29</v>
      </c>
      <c r="G753" t="s">
        <v>25</v>
      </c>
      <c r="H753" t="s">
        <v>34</v>
      </c>
      <c r="I753" t="s">
        <v>26</v>
      </c>
      <c r="J753">
        <v>79.06</v>
      </c>
      <c r="K753">
        <v>2174.59</v>
      </c>
      <c r="L753" t="s">
        <v>16</v>
      </c>
      <c r="M753" t="str">
        <f t="shared" si="12"/>
        <v>2 to 3 years</v>
      </c>
    </row>
    <row r="754" spans="1:13">
      <c r="A754" t="s">
        <v>778</v>
      </c>
      <c r="B754" t="s">
        <v>21</v>
      </c>
      <c r="C754" t="s">
        <v>16</v>
      </c>
      <c r="D754" t="s">
        <v>16</v>
      </c>
      <c r="E754" t="s">
        <v>16</v>
      </c>
      <c r="F754">
        <v>12</v>
      </c>
      <c r="G754" t="s">
        <v>22</v>
      </c>
      <c r="H754" t="s">
        <v>18</v>
      </c>
      <c r="I754" t="s">
        <v>26</v>
      </c>
      <c r="J754">
        <v>77.36</v>
      </c>
      <c r="K754">
        <v>971.07</v>
      </c>
      <c r="L754" t="s">
        <v>15</v>
      </c>
      <c r="M754" t="str">
        <f t="shared" si="12"/>
        <v>Up to 1 year</v>
      </c>
    </row>
    <row r="755" spans="1:13">
      <c r="A755" t="s">
        <v>779</v>
      </c>
      <c r="B755" t="s">
        <v>21</v>
      </c>
      <c r="C755" t="s">
        <v>16</v>
      </c>
      <c r="D755" t="s">
        <v>16</v>
      </c>
      <c r="E755" t="s">
        <v>15</v>
      </c>
      <c r="F755">
        <v>12</v>
      </c>
      <c r="G755" t="s">
        <v>25</v>
      </c>
      <c r="H755" t="s">
        <v>18</v>
      </c>
      <c r="I755" t="s">
        <v>36</v>
      </c>
      <c r="J755">
        <v>110.96</v>
      </c>
      <c r="K755">
        <v>1168.21</v>
      </c>
      <c r="L755" t="s">
        <v>15</v>
      </c>
      <c r="M755" t="str">
        <f t="shared" si="12"/>
        <v>Up to 1 year</v>
      </c>
    </row>
    <row r="756" spans="1:13">
      <c r="A756" t="s">
        <v>780</v>
      </c>
      <c r="B756" t="s">
        <v>21</v>
      </c>
      <c r="C756" t="s">
        <v>15</v>
      </c>
      <c r="D756" t="s">
        <v>15</v>
      </c>
      <c r="E756" t="s">
        <v>15</v>
      </c>
      <c r="F756">
        <v>42</v>
      </c>
      <c r="G756" t="s">
        <v>22</v>
      </c>
      <c r="H756" t="s">
        <v>18</v>
      </c>
      <c r="I756" t="s">
        <v>23</v>
      </c>
      <c r="J756">
        <v>43.7</v>
      </c>
      <c r="K756">
        <v>1923.16</v>
      </c>
      <c r="L756" t="s">
        <v>16</v>
      </c>
      <c r="M756" t="str">
        <f t="shared" si="12"/>
        <v>3 to 4 years</v>
      </c>
    </row>
    <row r="757" spans="1:13">
      <c r="A757" t="s">
        <v>781</v>
      </c>
      <c r="B757" t="s">
        <v>21</v>
      </c>
      <c r="C757" t="s">
        <v>15</v>
      </c>
      <c r="D757" t="s">
        <v>16</v>
      </c>
      <c r="E757" t="s">
        <v>16</v>
      </c>
      <c r="F757">
        <v>20</v>
      </c>
      <c r="G757" t="s">
        <v>22</v>
      </c>
      <c r="H757" t="s">
        <v>18</v>
      </c>
      <c r="I757" t="s">
        <v>23</v>
      </c>
      <c r="J757">
        <v>67.760000000000005</v>
      </c>
      <c r="K757">
        <v>1470.52</v>
      </c>
      <c r="L757" t="s">
        <v>16</v>
      </c>
      <c r="M757" t="str">
        <f t="shared" si="12"/>
        <v>1 to 2 years</v>
      </c>
    </row>
    <row r="758" spans="1:13">
      <c r="A758" t="s">
        <v>782</v>
      </c>
      <c r="B758" t="s">
        <v>21</v>
      </c>
      <c r="C758" t="s">
        <v>15</v>
      </c>
      <c r="D758" t="s">
        <v>16</v>
      </c>
      <c r="E758" t="s">
        <v>15</v>
      </c>
      <c r="F758">
        <v>54</v>
      </c>
      <c r="G758" t="s">
        <v>17</v>
      </c>
      <c r="H758" t="s">
        <v>18</v>
      </c>
      <c r="I758" t="s">
        <v>23</v>
      </c>
      <c r="J758">
        <v>64.069999999999993</v>
      </c>
      <c r="K758">
        <v>3647.99</v>
      </c>
      <c r="L758" t="s">
        <v>15</v>
      </c>
      <c r="M758" t="str">
        <f t="shared" si="12"/>
        <v>4 to 5 years</v>
      </c>
    </row>
    <row r="759" spans="1:13">
      <c r="A759" t="s">
        <v>783</v>
      </c>
      <c r="B759" t="s">
        <v>14</v>
      </c>
      <c r="C759" t="s">
        <v>15</v>
      </c>
      <c r="D759" t="s">
        <v>15</v>
      </c>
      <c r="E759" t="s">
        <v>15</v>
      </c>
      <c r="F759">
        <v>39</v>
      </c>
      <c r="G759" t="s">
        <v>22</v>
      </c>
      <c r="H759" t="s">
        <v>18</v>
      </c>
      <c r="I759" t="s">
        <v>26</v>
      </c>
      <c r="J759">
        <v>89.95</v>
      </c>
      <c r="K759">
        <v>3382.1</v>
      </c>
      <c r="L759" t="s">
        <v>16</v>
      </c>
      <c r="M759" t="str">
        <f t="shared" si="12"/>
        <v>3 to 4 years</v>
      </c>
    </row>
    <row r="760" spans="1:13">
      <c r="A760" t="s">
        <v>784</v>
      </c>
      <c r="B760" t="s">
        <v>14</v>
      </c>
      <c r="C760" t="s">
        <v>16</v>
      </c>
      <c r="D760" t="s">
        <v>16</v>
      </c>
      <c r="E760" t="s">
        <v>15</v>
      </c>
      <c r="F760">
        <v>14</v>
      </c>
      <c r="G760" t="s">
        <v>22</v>
      </c>
      <c r="H760" t="s">
        <v>18</v>
      </c>
      <c r="I760" t="s">
        <v>19</v>
      </c>
      <c r="J760">
        <v>102.4</v>
      </c>
      <c r="K760">
        <v>1323.93</v>
      </c>
      <c r="L760" t="s">
        <v>16</v>
      </c>
      <c r="M760" t="str">
        <f t="shared" si="12"/>
        <v>1 to 2 years</v>
      </c>
    </row>
    <row r="761" spans="1:13">
      <c r="A761" t="s">
        <v>785</v>
      </c>
      <c r="B761" t="s">
        <v>14</v>
      </c>
      <c r="C761" t="s">
        <v>15</v>
      </c>
      <c r="D761" t="s">
        <v>16</v>
      </c>
      <c r="E761" t="s">
        <v>16</v>
      </c>
      <c r="F761">
        <v>72</v>
      </c>
      <c r="G761" t="s">
        <v>22</v>
      </c>
      <c r="H761" t="s">
        <v>18</v>
      </c>
      <c r="I761" t="s">
        <v>36</v>
      </c>
      <c r="J761">
        <v>91.79</v>
      </c>
      <c r="K761">
        <v>6664.29</v>
      </c>
      <c r="L761" t="s">
        <v>15</v>
      </c>
      <c r="M761" t="str">
        <f t="shared" si="12"/>
        <v>5 to 6 years</v>
      </c>
    </row>
    <row r="762" spans="1:13">
      <c r="A762" t="s">
        <v>786</v>
      </c>
      <c r="B762" t="s">
        <v>21</v>
      </c>
      <c r="C762" t="s">
        <v>15</v>
      </c>
      <c r="D762" t="s">
        <v>16</v>
      </c>
      <c r="E762" t="s">
        <v>16</v>
      </c>
      <c r="F762">
        <v>51</v>
      </c>
      <c r="G762" t="s">
        <v>22</v>
      </c>
      <c r="H762" t="s">
        <v>18</v>
      </c>
      <c r="I762" t="s">
        <v>19</v>
      </c>
      <c r="J762">
        <v>92.18</v>
      </c>
      <c r="K762">
        <v>4795.79</v>
      </c>
      <c r="L762" t="s">
        <v>15</v>
      </c>
      <c r="M762" t="str">
        <f t="shared" si="12"/>
        <v>4 to 5 years</v>
      </c>
    </row>
    <row r="763" spans="1:13">
      <c r="A763" t="s">
        <v>787</v>
      </c>
      <c r="B763" t="s">
        <v>21</v>
      </c>
      <c r="C763" t="s">
        <v>15</v>
      </c>
      <c r="D763" t="s">
        <v>15</v>
      </c>
      <c r="E763" t="s">
        <v>16</v>
      </c>
      <c r="F763">
        <v>52</v>
      </c>
      <c r="G763" t="s">
        <v>22</v>
      </c>
      <c r="H763" t="s">
        <v>15</v>
      </c>
      <c r="I763" t="s">
        <v>36</v>
      </c>
      <c r="J763">
        <v>45.97</v>
      </c>
      <c r="K763">
        <v>2455.16</v>
      </c>
      <c r="L763" t="s">
        <v>15</v>
      </c>
      <c r="M763" t="str">
        <f t="shared" si="12"/>
        <v>4 to 5 years</v>
      </c>
    </row>
    <row r="764" spans="1:13">
      <c r="A764" t="s">
        <v>788</v>
      </c>
      <c r="B764" t="s">
        <v>14</v>
      </c>
      <c r="C764" t="s">
        <v>15</v>
      </c>
      <c r="D764" t="s">
        <v>16</v>
      </c>
      <c r="E764" t="s">
        <v>15</v>
      </c>
      <c r="F764">
        <v>51</v>
      </c>
      <c r="G764" t="s">
        <v>22</v>
      </c>
      <c r="H764" t="s">
        <v>34</v>
      </c>
      <c r="I764" t="s">
        <v>36</v>
      </c>
      <c r="J764">
        <v>78.02</v>
      </c>
      <c r="K764">
        <v>4065.4</v>
      </c>
      <c r="L764" t="s">
        <v>15</v>
      </c>
      <c r="M764" t="str">
        <f t="shared" si="12"/>
        <v>4 to 5 years</v>
      </c>
    </row>
    <row r="765" spans="1:13">
      <c r="A765" t="s">
        <v>789</v>
      </c>
      <c r="B765" t="s">
        <v>21</v>
      </c>
      <c r="C765" t="s">
        <v>15</v>
      </c>
      <c r="D765" t="s">
        <v>15</v>
      </c>
      <c r="E765" t="s">
        <v>15</v>
      </c>
      <c r="F765">
        <v>29</v>
      </c>
      <c r="G765" t="s">
        <v>22</v>
      </c>
      <c r="H765" t="s">
        <v>18</v>
      </c>
      <c r="I765" t="s">
        <v>23</v>
      </c>
      <c r="J765">
        <v>59</v>
      </c>
      <c r="K765">
        <v>1821.15</v>
      </c>
      <c r="L765" t="s">
        <v>16</v>
      </c>
      <c r="M765" t="str">
        <f t="shared" si="12"/>
        <v>2 to 3 years</v>
      </c>
    </row>
    <row r="766" spans="1:13">
      <c r="A766" t="s">
        <v>790</v>
      </c>
      <c r="B766" t="s">
        <v>14</v>
      </c>
      <c r="C766" t="s">
        <v>16</v>
      </c>
      <c r="D766" t="s">
        <v>16</v>
      </c>
      <c r="E766" t="s">
        <v>16</v>
      </c>
      <c r="F766">
        <v>32</v>
      </c>
      <c r="G766" t="s">
        <v>22</v>
      </c>
      <c r="H766" t="s">
        <v>15</v>
      </c>
      <c r="I766" t="s">
        <v>19</v>
      </c>
      <c r="J766">
        <v>71.849999999999994</v>
      </c>
      <c r="K766">
        <v>2315.38</v>
      </c>
      <c r="L766" t="s">
        <v>15</v>
      </c>
      <c r="M766" t="str">
        <f t="shared" si="12"/>
        <v>2 to 3 years</v>
      </c>
    </row>
    <row r="767" spans="1:13">
      <c r="A767" t="s">
        <v>791</v>
      </c>
      <c r="B767" t="s">
        <v>14</v>
      </c>
      <c r="C767" t="s">
        <v>16</v>
      </c>
      <c r="D767" t="s">
        <v>16</v>
      </c>
      <c r="E767" t="s">
        <v>15</v>
      </c>
      <c r="F767">
        <v>56</v>
      </c>
      <c r="G767" t="s">
        <v>17</v>
      </c>
      <c r="H767" t="s">
        <v>18</v>
      </c>
      <c r="I767" t="s">
        <v>26</v>
      </c>
      <c r="J767">
        <v>67.48</v>
      </c>
      <c r="K767">
        <v>3761.88</v>
      </c>
      <c r="L767" t="s">
        <v>15</v>
      </c>
      <c r="M767" t="str">
        <f t="shared" si="12"/>
        <v>4 to 5 years</v>
      </c>
    </row>
    <row r="768" spans="1:13">
      <c r="A768" t="s">
        <v>792</v>
      </c>
      <c r="B768" t="s">
        <v>14</v>
      </c>
      <c r="C768" t="s">
        <v>15</v>
      </c>
      <c r="D768" t="s">
        <v>15</v>
      </c>
      <c r="E768" t="s">
        <v>15</v>
      </c>
      <c r="F768">
        <v>51</v>
      </c>
      <c r="G768" t="s">
        <v>22</v>
      </c>
      <c r="H768" t="s">
        <v>34</v>
      </c>
      <c r="I768" t="s">
        <v>23</v>
      </c>
      <c r="J768">
        <v>41.96</v>
      </c>
      <c r="K768">
        <v>2030.51</v>
      </c>
      <c r="L768" t="s">
        <v>16</v>
      </c>
      <c r="M768" t="str">
        <f t="shared" si="12"/>
        <v>4 to 5 years</v>
      </c>
    </row>
    <row r="769" spans="1:13">
      <c r="A769" t="s">
        <v>793</v>
      </c>
      <c r="B769" t="s">
        <v>21</v>
      </c>
      <c r="C769" t="s">
        <v>15</v>
      </c>
      <c r="D769" t="s">
        <v>16</v>
      </c>
      <c r="E769" t="s">
        <v>16</v>
      </c>
      <c r="F769">
        <v>8</v>
      </c>
      <c r="G769" t="s">
        <v>25</v>
      </c>
      <c r="H769" t="s">
        <v>18</v>
      </c>
      <c r="I769" t="s">
        <v>19</v>
      </c>
      <c r="J769">
        <v>80.95</v>
      </c>
      <c r="K769">
        <v>623.75</v>
      </c>
      <c r="L769" t="s">
        <v>15</v>
      </c>
      <c r="M769" t="str">
        <f t="shared" si="12"/>
        <v>Up to 1 year</v>
      </c>
    </row>
    <row r="770" spans="1:13">
      <c r="A770" t="s">
        <v>794</v>
      </c>
      <c r="B770" t="s">
        <v>21</v>
      </c>
      <c r="C770" t="s">
        <v>15</v>
      </c>
      <c r="D770" t="s">
        <v>16</v>
      </c>
      <c r="E770" t="s">
        <v>15</v>
      </c>
      <c r="F770">
        <v>53</v>
      </c>
      <c r="G770" t="s">
        <v>25</v>
      </c>
      <c r="H770" t="s">
        <v>34</v>
      </c>
      <c r="I770" t="s">
        <v>26</v>
      </c>
      <c r="J770">
        <v>22.17</v>
      </c>
      <c r="K770">
        <v>1163.42</v>
      </c>
      <c r="L770" t="s">
        <v>16</v>
      </c>
      <c r="M770" t="str">
        <f t="shared" si="12"/>
        <v>4 to 5 years</v>
      </c>
    </row>
    <row r="771" spans="1:13">
      <c r="A771" t="s">
        <v>795</v>
      </c>
      <c r="B771" t="s">
        <v>14</v>
      </c>
      <c r="C771" t="s">
        <v>15</v>
      </c>
      <c r="D771" t="s">
        <v>15</v>
      </c>
      <c r="E771" t="s">
        <v>15</v>
      </c>
      <c r="F771">
        <v>0</v>
      </c>
      <c r="G771" t="s">
        <v>22</v>
      </c>
      <c r="H771" t="s">
        <v>34</v>
      </c>
      <c r="I771" t="s">
        <v>23</v>
      </c>
      <c r="J771">
        <v>106.86</v>
      </c>
      <c r="K771">
        <v>53.43</v>
      </c>
      <c r="L771" t="s">
        <v>15</v>
      </c>
      <c r="M771" t="str">
        <f t="shared" ref="M771:M834" si="13">IF(F771=0,"Just signed",IF(F771&lt;=12,"Up to 1 year",IF(F771&lt;=24,"1 to 2 years",IF(F771&lt;=36,"2 to 3 years",IF(F771&lt;=48,"3 to 4 years",IF(F771&lt;=60,"4 to 5 years","5 to 6 years"))))))</f>
        <v>Just signed</v>
      </c>
    </row>
    <row r="772" spans="1:13">
      <c r="A772" t="s">
        <v>796</v>
      </c>
      <c r="B772" t="s">
        <v>14</v>
      </c>
      <c r="C772" t="s">
        <v>15</v>
      </c>
      <c r="D772" t="s">
        <v>15</v>
      </c>
      <c r="E772" t="s">
        <v>16</v>
      </c>
      <c r="F772">
        <v>43</v>
      </c>
      <c r="G772" t="s">
        <v>17</v>
      </c>
      <c r="H772" t="s">
        <v>15</v>
      </c>
      <c r="I772" t="s">
        <v>26</v>
      </c>
      <c r="J772">
        <v>74.930000000000007</v>
      </c>
      <c r="K772">
        <v>3218.93</v>
      </c>
      <c r="L772" t="s">
        <v>15</v>
      </c>
      <c r="M772" t="str">
        <f t="shared" si="13"/>
        <v>3 to 4 years</v>
      </c>
    </row>
    <row r="773" spans="1:13">
      <c r="A773" t="s">
        <v>797</v>
      </c>
      <c r="B773" t="s">
        <v>14</v>
      </c>
      <c r="C773" t="s">
        <v>15</v>
      </c>
      <c r="D773" t="s">
        <v>15</v>
      </c>
      <c r="E773" t="s">
        <v>16</v>
      </c>
      <c r="F773">
        <v>8</v>
      </c>
      <c r="G773" t="s">
        <v>25</v>
      </c>
      <c r="H773" t="s">
        <v>18</v>
      </c>
      <c r="I773" t="s">
        <v>26</v>
      </c>
      <c r="J773">
        <v>88.42</v>
      </c>
      <c r="K773">
        <v>622.37</v>
      </c>
      <c r="L773" t="s">
        <v>15</v>
      </c>
      <c r="M773" t="str">
        <f t="shared" si="13"/>
        <v>Up to 1 year</v>
      </c>
    </row>
    <row r="774" spans="1:13">
      <c r="A774" t="s">
        <v>798</v>
      </c>
      <c r="B774" t="s">
        <v>14</v>
      </c>
      <c r="C774" t="s">
        <v>15</v>
      </c>
      <c r="D774" t="s">
        <v>15</v>
      </c>
      <c r="E774" t="s">
        <v>15</v>
      </c>
      <c r="F774">
        <v>31</v>
      </c>
      <c r="G774" t="s">
        <v>25</v>
      </c>
      <c r="H774" t="s">
        <v>34</v>
      </c>
      <c r="I774" t="s">
        <v>23</v>
      </c>
      <c r="J774">
        <v>29.41</v>
      </c>
      <c r="K774">
        <v>1000.78</v>
      </c>
      <c r="L774" t="s">
        <v>15</v>
      </c>
      <c r="M774" t="str">
        <f t="shared" si="13"/>
        <v>2 to 3 years</v>
      </c>
    </row>
    <row r="775" spans="1:13">
      <c r="A775" t="s">
        <v>799</v>
      </c>
      <c r="B775" t="s">
        <v>21</v>
      </c>
      <c r="C775" t="s">
        <v>16</v>
      </c>
      <c r="D775" t="s">
        <v>15</v>
      </c>
      <c r="E775" t="s">
        <v>15</v>
      </c>
      <c r="F775">
        <v>14</v>
      </c>
      <c r="G775" t="s">
        <v>17</v>
      </c>
      <c r="H775" t="s">
        <v>15</v>
      </c>
      <c r="I775" t="s">
        <v>19</v>
      </c>
      <c r="J775">
        <v>37.5</v>
      </c>
      <c r="K775">
        <v>559.07000000000005</v>
      </c>
      <c r="L775" t="s">
        <v>15</v>
      </c>
      <c r="M775" t="str">
        <f t="shared" si="13"/>
        <v>1 to 2 years</v>
      </c>
    </row>
    <row r="776" spans="1:13">
      <c r="A776" t="s">
        <v>800</v>
      </c>
      <c r="B776" t="s">
        <v>21</v>
      </c>
      <c r="C776" t="s">
        <v>15</v>
      </c>
      <c r="D776" t="s">
        <v>16</v>
      </c>
      <c r="E776" t="s">
        <v>15</v>
      </c>
      <c r="F776">
        <v>11</v>
      </c>
      <c r="G776" t="s">
        <v>22</v>
      </c>
      <c r="H776" t="s">
        <v>15</v>
      </c>
      <c r="I776" t="s">
        <v>23</v>
      </c>
      <c r="J776">
        <v>56.01</v>
      </c>
      <c r="K776">
        <v>579.34</v>
      </c>
      <c r="L776" t="s">
        <v>16</v>
      </c>
      <c r="M776" t="str">
        <f t="shared" si="13"/>
        <v>Up to 1 year</v>
      </c>
    </row>
    <row r="777" spans="1:13">
      <c r="A777" t="s">
        <v>801</v>
      </c>
      <c r="B777" t="s">
        <v>14</v>
      </c>
      <c r="C777" t="s">
        <v>16</v>
      </c>
      <c r="D777" t="s">
        <v>15</v>
      </c>
      <c r="E777" t="s">
        <v>15</v>
      </c>
      <c r="F777">
        <v>56</v>
      </c>
      <c r="G777" t="s">
        <v>17</v>
      </c>
      <c r="H777" t="s">
        <v>18</v>
      </c>
      <c r="I777" t="s">
        <v>26</v>
      </c>
      <c r="J777">
        <v>73.42</v>
      </c>
      <c r="K777">
        <v>4126.63</v>
      </c>
      <c r="L777" t="s">
        <v>15</v>
      </c>
      <c r="M777" t="str">
        <f t="shared" si="13"/>
        <v>4 to 5 years</v>
      </c>
    </row>
    <row r="778" spans="1:13">
      <c r="A778" t="s">
        <v>802</v>
      </c>
      <c r="B778" t="s">
        <v>14</v>
      </c>
      <c r="C778" t="s">
        <v>15</v>
      </c>
      <c r="D778" t="s">
        <v>16</v>
      </c>
      <c r="E778" t="s">
        <v>16</v>
      </c>
      <c r="F778">
        <v>7</v>
      </c>
      <c r="G778" t="s">
        <v>17</v>
      </c>
      <c r="H778" t="s">
        <v>34</v>
      </c>
      <c r="I778" t="s">
        <v>23</v>
      </c>
      <c r="J778">
        <v>27.79</v>
      </c>
      <c r="K778">
        <v>106.12</v>
      </c>
      <c r="L778" t="s">
        <v>15</v>
      </c>
      <c r="M778" t="str">
        <f t="shared" si="13"/>
        <v>Up to 1 year</v>
      </c>
    </row>
    <row r="779" spans="1:13">
      <c r="A779" t="s">
        <v>803</v>
      </c>
      <c r="B779" t="s">
        <v>21</v>
      </c>
      <c r="C779" t="s">
        <v>15</v>
      </c>
      <c r="D779" t="s">
        <v>16</v>
      </c>
      <c r="E779" t="s">
        <v>16</v>
      </c>
      <c r="F779">
        <v>71</v>
      </c>
      <c r="G779" t="s">
        <v>17</v>
      </c>
      <c r="H779" t="s">
        <v>18</v>
      </c>
      <c r="I779" t="s">
        <v>36</v>
      </c>
      <c r="J779">
        <v>47.09</v>
      </c>
      <c r="K779">
        <v>3263.09</v>
      </c>
      <c r="L779" t="s">
        <v>15</v>
      </c>
      <c r="M779" t="str">
        <f t="shared" si="13"/>
        <v>5 to 6 years</v>
      </c>
    </row>
    <row r="780" spans="1:13">
      <c r="A780" t="s">
        <v>804</v>
      </c>
      <c r="B780" t="s">
        <v>21</v>
      </c>
      <c r="C780" t="s">
        <v>16</v>
      </c>
      <c r="D780" t="s">
        <v>16</v>
      </c>
      <c r="E780" t="s">
        <v>15</v>
      </c>
      <c r="F780">
        <v>26</v>
      </c>
      <c r="G780" t="s">
        <v>22</v>
      </c>
      <c r="H780" t="s">
        <v>18</v>
      </c>
      <c r="I780" t="s">
        <v>19</v>
      </c>
      <c r="J780">
        <v>72.92</v>
      </c>
      <c r="K780">
        <v>1845.21</v>
      </c>
      <c r="L780" t="s">
        <v>15</v>
      </c>
      <c r="M780" t="str">
        <f t="shared" si="13"/>
        <v>2 to 3 years</v>
      </c>
    </row>
    <row r="781" spans="1:13">
      <c r="A781" t="s">
        <v>805</v>
      </c>
      <c r="B781" t="s">
        <v>14</v>
      </c>
      <c r="C781" t="s">
        <v>15</v>
      </c>
      <c r="D781" t="s">
        <v>15</v>
      </c>
      <c r="E781" t="s">
        <v>16</v>
      </c>
      <c r="F781">
        <v>61</v>
      </c>
      <c r="G781" t="s">
        <v>25</v>
      </c>
      <c r="H781" t="s">
        <v>18</v>
      </c>
      <c r="I781" t="s">
        <v>23</v>
      </c>
      <c r="J781">
        <v>47.92</v>
      </c>
      <c r="K781">
        <v>2907.77</v>
      </c>
      <c r="L781" t="s">
        <v>15</v>
      </c>
      <c r="M781" t="str">
        <f t="shared" si="13"/>
        <v>5 to 6 years</v>
      </c>
    </row>
    <row r="782" spans="1:13">
      <c r="A782" t="s">
        <v>806</v>
      </c>
      <c r="B782" t="s">
        <v>14</v>
      </c>
      <c r="C782" t="s">
        <v>15</v>
      </c>
      <c r="D782" t="s">
        <v>15</v>
      </c>
      <c r="E782" t="s">
        <v>16</v>
      </c>
      <c r="F782">
        <v>11</v>
      </c>
      <c r="G782" t="s">
        <v>25</v>
      </c>
      <c r="H782" t="s">
        <v>15</v>
      </c>
      <c r="I782" t="s">
        <v>19</v>
      </c>
      <c r="J782">
        <v>89.28</v>
      </c>
      <c r="K782">
        <v>993.38</v>
      </c>
      <c r="L782" t="s">
        <v>16</v>
      </c>
      <c r="M782" t="str">
        <f t="shared" si="13"/>
        <v>Up to 1 year</v>
      </c>
    </row>
    <row r="783" spans="1:13">
      <c r="A783" t="s">
        <v>807</v>
      </c>
      <c r="B783" t="s">
        <v>14</v>
      </c>
      <c r="C783" t="s">
        <v>15</v>
      </c>
      <c r="D783" t="s">
        <v>16</v>
      </c>
      <c r="E783" t="s">
        <v>15</v>
      </c>
      <c r="F783">
        <v>64</v>
      </c>
      <c r="G783" t="s">
        <v>22</v>
      </c>
      <c r="H783" t="s">
        <v>18</v>
      </c>
      <c r="I783" t="s">
        <v>19</v>
      </c>
      <c r="J783">
        <v>92.36</v>
      </c>
      <c r="K783">
        <v>5922.65</v>
      </c>
      <c r="L783" t="s">
        <v>15</v>
      </c>
      <c r="M783" t="str">
        <f t="shared" si="13"/>
        <v>5 to 6 years</v>
      </c>
    </row>
    <row r="784" spans="1:13">
      <c r="A784" t="s">
        <v>808</v>
      </c>
      <c r="B784" t="s">
        <v>21</v>
      </c>
      <c r="C784" t="s">
        <v>15</v>
      </c>
      <c r="D784" t="s">
        <v>15</v>
      </c>
      <c r="E784" t="s">
        <v>15</v>
      </c>
      <c r="F784">
        <v>41</v>
      </c>
      <c r="G784" t="s">
        <v>22</v>
      </c>
      <c r="H784" t="s">
        <v>34</v>
      </c>
      <c r="I784" t="s">
        <v>19</v>
      </c>
      <c r="J784">
        <v>49.91</v>
      </c>
      <c r="K784">
        <v>1940.81</v>
      </c>
      <c r="L784" t="s">
        <v>15</v>
      </c>
      <c r="M784" t="str">
        <f t="shared" si="13"/>
        <v>3 to 4 years</v>
      </c>
    </row>
    <row r="785" spans="1:13">
      <c r="A785" t="s">
        <v>809</v>
      </c>
      <c r="B785" t="s">
        <v>21</v>
      </c>
      <c r="C785" t="s">
        <v>16</v>
      </c>
      <c r="D785" t="s">
        <v>15</v>
      </c>
      <c r="E785" t="s">
        <v>15</v>
      </c>
      <c r="F785">
        <v>61</v>
      </c>
      <c r="G785" t="s">
        <v>22</v>
      </c>
      <c r="H785" t="s">
        <v>18</v>
      </c>
      <c r="I785" t="s">
        <v>26</v>
      </c>
      <c r="J785">
        <v>109.23</v>
      </c>
      <c r="K785">
        <v>6656.57</v>
      </c>
      <c r="L785" t="s">
        <v>15</v>
      </c>
      <c r="M785" t="str">
        <f t="shared" si="13"/>
        <v>5 to 6 years</v>
      </c>
    </row>
    <row r="786" spans="1:13">
      <c r="A786" t="s">
        <v>810</v>
      </c>
      <c r="B786" t="s">
        <v>21</v>
      </c>
      <c r="C786" t="s">
        <v>15</v>
      </c>
      <c r="D786" t="s">
        <v>15</v>
      </c>
      <c r="E786" t="s">
        <v>15</v>
      </c>
      <c r="F786">
        <v>10</v>
      </c>
      <c r="G786" t="s">
        <v>25</v>
      </c>
      <c r="H786" t="s">
        <v>34</v>
      </c>
      <c r="I786" t="s">
        <v>19</v>
      </c>
      <c r="J786">
        <v>94.19</v>
      </c>
      <c r="K786">
        <v>876.46</v>
      </c>
      <c r="L786" t="s">
        <v>16</v>
      </c>
      <c r="M786" t="str">
        <f t="shared" si="13"/>
        <v>Up to 1 year</v>
      </c>
    </row>
    <row r="787" spans="1:13">
      <c r="A787" t="s">
        <v>811</v>
      </c>
      <c r="B787" t="s">
        <v>14</v>
      </c>
      <c r="C787" t="s">
        <v>15</v>
      </c>
      <c r="D787" t="s">
        <v>15</v>
      </c>
      <c r="E787" t="s">
        <v>16</v>
      </c>
      <c r="F787">
        <v>42</v>
      </c>
      <c r="G787" t="s">
        <v>17</v>
      </c>
      <c r="H787" t="s">
        <v>18</v>
      </c>
      <c r="I787" t="s">
        <v>23</v>
      </c>
      <c r="J787">
        <v>87.22</v>
      </c>
      <c r="K787">
        <v>3390.52</v>
      </c>
      <c r="L787" t="s">
        <v>15</v>
      </c>
      <c r="M787" t="str">
        <f t="shared" si="13"/>
        <v>3 to 4 years</v>
      </c>
    </row>
    <row r="788" spans="1:13">
      <c r="A788" t="s">
        <v>812</v>
      </c>
      <c r="B788" t="s">
        <v>14</v>
      </c>
      <c r="C788" t="s">
        <v>16</v>
      </c>
      <c r="D788" t="s">
        <v>16</v>
      </c>
      <c r="E788" t="s">
        <v>15</v>
      </c>
      <c r="F788">
        <v>16</v>
      </c>
      <c r="G788" t="s">
        <v>17</v>
      </c>
      <c r="H788" t="s">
        <v>18</v>
      </c>
      <c r="I788" t="s">
        <v>23</v>
      </c>
      <c r="J788">
        <v>79.010000000000005</v>
      </c>
      <c r="K788">
        <v>1510.21</v>
      </c>
      <c r="L788" t="s">
        <v>15</v>
      </c>
      <c r="M788" t="str">
        <f t="shared" si="13"/>
        <v>1 to 2 years</v>
      </c>
    </row>
    <row r="789" spans="1:13">
      <c r="A789" t="s">
        <v>813</v>
      </c>
      <c r="B789" t="s">
        <v>21</v>
      </c>
      <c r="C789" t="s">
        <v>15</v>
      </c>
      <c r="D789" t="s">
        <v>16</v>
      </c>
      <c r="E789" t="s">
        <v>16</v>
      </c>
      <c r="F789">
        <v>31</v>
      </c>
      <c r="G789" t="s">
        <v>22</v>
      </c>
      <c r="H789" t="s">
        <v>34</v>
      </c>
      <c r="I789" t="s">
        <v>26</v>
      </c>
      <c r="J789">
        <v>62.54</v>
      </c>
      <c r="K789">
        <v>1874.85</v>
      </c>
      <c r="L789" t="s">
        <v>16</v>
      </c>
      <c r="M789" t="str">
        <f t="shared" si="13"/>
        <v>2 to 3 years</v>
      </c>
    </row>
    <row r="790" spans="1:13">
      <c r="A790" t="s">
        <v>814</v>
      </c>
      <c r="B790" t="s">
        <v>21</v>
      </c>
      <c r="C790" t="s">
        <v>16</v>
      </c>
      <c r="D790" t="s">
        <v>15</v>
      </c>
      <c r="E790" t="s">
        <v>15</v>
      </c>
      <c r="F790">
        <v>39</v>
      </c>
      <c r="G790" t="s">
        <v>17</v>
      </c>
      <c r="H790" t="s">
        <v>18</v>
      </c>
      <c r="I790" t="s">
        <v>19</v>
      </c>
      <c r="J790">
        <v>66.5</v>
      </c>
      <c r="K790">
        <v>2534.0500000000002</v>
      </c>
      <c r="L790" t="s">
        <v>15</v>
      </c>
      <c r="M790" t="str">
        <f t="shared" si="13"/>
        <v>3 to 4 years</v>
      </c>
    </row>
    <row r="791" spans="1:13">
      <c r="A791" t="s">
        <v>815</v>
      </c>
      <c r="B791" t="s">
        <v>14</v>
      </c>
      <c r="C791" t="s">
        <v>16</v>
      </c>
      <c r="D791" t="s">
        <v>16</v>
      </c>
      <c r="E791" t="s">
        <v>15</v>
      </c>
      <c r="F791">
        <v>22</v>
      </c>
      <c r="G791" t="s">
        <v>22</v>
      </c>
      <c r="H791" t="s">
        <v>34</v>
      </c>
      <c r="I791" t="s">
        <v>19</v>
      </c>
      <c r="J791">
        <v>36.58</v>
      </c>
      <c r="K791">
        <v>697.05</v>
      </c>
      <c r="L791" t="s">
        <v>16</v>
      </c>
      <c r="M791" t="str">
        <f t="shared" si="13"/>
        <v>1 to 2 years</v>
      </c>
    </row>
    <row r="792" spans="1:13">
      <c r="A792" t="s">
        <v>816</v>
      </c>
      <c r="B792" t="s">
        <v>21</v>
      </c>
      <c r="C792" t="s">
        <v>15</v>
      </c>
      <c r="D792" t="s">
        <v>15</v>
      </c>
      <c r="E792" t="s">
        <v>15</v>
      </c>
      <c r="F792">
        <v>55</v>
      </c>
      <c r="G792" t="s">
        <v>22</v>
      </c>
      <c r="H792" t="s">
        <v>34</v>
      </c>
      <c r="I792" t="s">
        <v>36</v>
      </c>
      <c r="J792">
        <v>108.21</v>
      </c>
      <c r="K792">
        <v>5866.95</v>
      </c>
      <c r="L792" t="s">
        <v>15</v>
      </c>
      <c r="M792" t="str">
        <f t="shared" si="13"/>
        <v>4 to 5 years</v>
      </c>
    </row>
    <row r="793" spans="1:13">
      <c r="A793" t="s">
        <v>817</v>
      </c>
      <c r="B793" t="s">
        <v>21</v>
      </c>
      <c r="C793" t="s">
        <v>16</v>
      </c>
      <c r="D793" t="s">
        <v>15</v>
      </c>
      <c r="E793" t="s">
        <v>15</v>
      </c>
      <c r="F793">
        <v>5</v>
      </c>
      <c r="G793" t="s">
        <v>17</v>
      </c>
      <c r="H793" t="s">
        <v>18</v>
      </c>
      <c r="I793" t="s">
        <v>19</v>
      </c>
      <c r="J793">
        <v>66.989999999999995</v>
      </c>
      <c r="K793">
        <v>319.86</v>
      </c>
      <c r="L793" t="s">
        <v>16</v>
      </c>
      <c r="M793" t="str">
        <f t="shared" si="13"/>
        <v>Up to 1 year</v>
      </c>
    </row>
    <row r="794" spans="1:13">
      <c r="A794" t="s">
        <v>818</v>
      </c>
      <c r="B794" t="s">
        <v>14</v>
      </c>
      <c r="C794" t="s">
        <v>15</v>
      </c>
      <c r="D794" t="s">
        <v>16</v>
      </c>
      <c r="E794" t="s">
        <v>15</v>
      </c>
      <c r="F794">
        <v>49</v>
      </c>
      <c r="G794" t="s">
        <v>25</v>
      </c>
      <c r="H794" t="s">
        <v>34</v>
      </c>
      <c r="I794" t="s">
        <v>36</v>
      </c>
      <c r="J794">
        <v>70.709999999999994</v>
      </c>
      <c r="K794">
        <v>3572.94</v>
      </c>
      <c r="L794" t="s">
        <v>15</v>
      </c>
      <c r="M794" t="str">
        <f t="shared" si="13"/>
        <v>4 to 5 years</v>
      </c>
    </row>
    <row r="795" spans="1:13">
      <c r="A795" t="s">
        <v>819</v>
      </c>
      <c r="B795" t="s">
        <v>21</v>
      </c>
      <c r="C795" t="s">
        <v>15</v>
      </c>
      <c r="D795" t="s">
        <v>16</v>
      </c>
      <c r="E795" t="s">
        <v>16</v>
      </c>
      <c r="F795">
        <v>36</v>
      </c>
      <c r="G795" t="s">
        <v>25</v>
      </c>
      <c r="H795" t="s">
        <v>18</v>
      </c>
      <c r="I795" t="s">
        <v>23</v>
      </c>
      <c r="J795">
        <v>57.24</v>
      </c>
      <c r="K795">
        <v>2045.09</v>
      </c>
      <c r="L795" t="s">
        <v>15</v>
      </c>
      <c r="M795" t="str">
        <f t="shared" si="13"/>
        <v>2 to 3 years</v>
      </c>
    </row>
    <row r="796" spans="1:13">
      <c r="A796" t="s">
        <v>820</v>
      </c>
      <c r="B796" t="s">
        <v>14</v>
      </c>
      <c r="C796" t="s">
        <v>15</v>
      </c>
      <c r="D796" t="s">
        <v>16</v>
      </c>
      <c r="E796" t="s">
        <v>15</v>
      </c>
      <c r="F796">
        <v>63</v>
      </c>
      <c r="G796" t="s">
        <v>25</v>
      </c>
      <c r="H796" t="s">
        <v>34</v>
      </c>
      <c r="I796" t="s">
        <v>23</v>
      </c>
      <c r="J796">
        <v>63.51</v>
      </c>
      <c r="K796">
        <v>3975.25</v>
      </c>
      <c r="L796" t="s">
        <v>15</v>
      </c>
      <c r="M796" t="str">
        <f t="shared" si="13"/>
        <v>5 to 6 years</v>
      </c>
    </row>
    <row r="797" spans="1:13">
      <c r="A797" t="s">
        <v>821</v>
      </c>
      <c r="B797" t="s">
        <v>14</v>
      </c>
      <c r="C797" t="s">
        <v>15</v>
      </c>
      <c r="D797" t="s">
        <v>15</v>
      </c>
      <c r="E797" t="s">
        <v>15</v>
      </c>
      <c r="F797">
        <v>53</v>
      </c>
      <c r="G797" t="s">
        <v>22</v>
      </c>
      <c r="H797" t="s">
        <v>18</v>
      </c>
      <c r="I797" t="s">
        <v>36</v>
      </c>
      <c r="J797">
        <v>140</v>
      </c>
      <c r="K797">
        <v>7516.02</v>
      </c>
      <c r="L797" t="s">
        <v>15</v>
      </c>
      <c r="M797" t="str">
        <f t="shared" si="13"/>
        <v>4 to 5 years</v>
      </c>
    </row>
    <row r="798" spans="1:13">
      <c r="A798" t="s">
        <v>822</v>
      </c>
      <c r="B798" t="s">
        <v>14</v>
      </c>
      <c r="C798" t="s">
        <v>15</v>
      </c>
      <c r="D798" t="s">
        <v>16</v>
      </c>
      <c r="E798" t="s">
        <v>16</v>
      </c>
      <c r="F798">
        <v>71</v>
      </c>
      <c r="G798" t="s">
        <v>22</v>
      </c>
      <c r="H798" t="s">
        <v>18</v>
      </c>
      <c r="I798" t="s">
        <v>19</v>
      </c>
      <c r="J798">
        <v>61.85</v>
      </c>
      <c r="K798">
        <v>4349.3999999999996</v>
      </c>
      <c r="L798" t="s">
        <v>15</v>
      </c>
      <c r="M798" t="str">
        <f t="shared" si="13"/>
        <v>5 to 6 years</v>
      </c>
    </row>
    <row r="799" spans="1:13">
      <c r="A799" t="s">
        <v>823</v>
      </c>
      <c r="B799" t="s">
        <v>14</v>
      </c>
      <c r="C799" t="s">
        <v>16</v>
      </c>
      <c r="D799" t="s">
        <v>15</v>
      </c>
      <c r="E799" t="s">
        <v>15</v>
      </c>
      <c r="F799">
        <v>48</v>
      </c>
      <c r="G799" t="s">
        <v>17</v>
      </c>
      <c r="H799" t="s">
        <v>18</v>
      </c>
      <c r="I799" t="s">
        <v>36</v>
      </c>
      <c r="J799">
        <v>116.21</v>
      </c>
      <c r="K799">
        <v>5579.77</v>
      </c>
      <c r="L799" t="s">
        <v>15</v>
      </c>
      <c r="M799" t="str">
        <f t="shared" si="13"/>
        <v>3 to 4 years</v>
      </c>
    </row>
    <row r="800" spans="1:13">
      <c r="A800" t="s">
        <v>824</v>
      </c>
      <c r="B800" t="s">
        <v>14</v>
      </c>
      <c r="C800" t="s">
        <v>15</v>
      </c>
      <c r="D800" t="s">
        <v>16</v>
      </c>
      <c r="E800" t="s">
        <v>15</v>
      </c>
      <c r="F800">
        <v>10</v>
      </c>
      <c r="G800" t="s">
        <v>25</v>
      </c>
      <c r="H800" t="s">
        <v>18</v>
      </c>
      <c r="I800" t="s">
        <v>23</v>
      </c>
      <c r="J800">
        <v>79.3</v>
      </c>
      <c r="K800">
        <v>719.27</v>
      </c>
      <c r="L800" t="s">
        <v>15</v>
      </c>
      <c r="M800" t="str">
        <f t="shared" si="13"/>
        <v>Up to 1 year</v>
      </c>
    </row>
    <row r="801" spans="1:13">
      <c r="A801" t="s">
        <v>825</v>
      </c>
      <c r="B801" t="s">
        <v>14</v>
      </c>
      <c r="C801" t="s">
        <v>15</v>
      </c>
      <c r="D801" t="s">
        <v>16</v>
      </c>
      <c r="E801" t="s">
        <v>16</v>
      </c>
      <c r="F801">
        <v>48</v>
      </c>
      <c r="G801" t="s">
        <v>22</v>
      </c>
      <c r="H801" t="s">
        <v>15</v>
      </c>
      <c r="I801" t="s">
        <v>26</v>
      </c>
      <c r="J801">
        <v>72</v>
      </c>
      <c r="K801">
        <v>3590.81</v>
      </c>
      <c r="L801" t="s">
        <v>15</v>
      </c>
      <c r="M801" t="str">
        <f t="shared" si="13"/>
        <v>3 to 4 years</v>
      </c>
    </row>
    <row r="802" spans="1:13">
      <c r="A802" t="s">
        <v>826</v>
      </c>
      <c r="B802" t="s">
        <v>14</v>
      </c>
      <c r="C802" t="s">
        <v>16</v>
      </c>
      <c r="D802" t="s">
        <v>15</v>
      </c>
      <c r="E802" t="s">
        <v>15</v>
      </c>
      <c r="F802">
        <v>20</v>
      </c>
      <c r="G802" t="s">
        <v>22</v>
      </c>
      <c r="H802" t="s">
        <v>34</v>
      </c>
      <c r="I802" t="s">
        <v>36</v>
      </c>
      <c r="J802">
        <v>101.11</v>
      </c>
      <c r="K802">
        <v>2106.08</v>
      </c>
      <c r="L802" t="s">
        <v>16</v>
      </c>
      <c r="M802" t="str">
        <f t="shared" si="13"/>
        <v>1 to 2 years</v>
      </c>
    </row>
    <row r="803" spans="1:13">
      <c r="A803" t="s">
        <v>827</v>
      </c>
      <c r="B803" t="s">
        <v>21</v>
      </c>
      <c r="C803" t="s">
        <v>15</v>
      </c>
      <c r="D803" t="s">
        <v>15</v>
      </c>
      <c r="E803" t="s">
        <v>15</v>
      </c>
      <c r="F803">
        <v>65</v>
      </c>
      <c r="G803" t="s">
        <v>22</v>
      </c>
      <c r="H803" t="s">
        <v>34</v>
      </c>
      <c r="I803" t="s">
        <v>23</v>
      </c>
      <c r="J803">
        <v>76.81</v>
      </c>
      <c r="K803">
        <v>4980.41</v>
      </c>
      <c r="L803" t="s">
        <v>15</v>
      </c>
      <c r="M803" t="str">
        <f t="shared" si="13"/>
        <v>5 to 6 years</v>
      </c>
    </row>
    <row r="804" spans="1:13">
      <c r="A804" t="s">
        <v>828</v>
      </c>
      <c r="B804" t="s">
        <v>14</v>
      </c>
      <c r="C804" t="s">
        <v>16</v>
      </c>
      <c r="D804" t="s">
        <v>15</v>
      </c>
      <c r="E804" t="s">
        <v>15</v>
      </c>
      <c r="F804">
        <v>62</v>
      </c>
      <c r="G804" t="s">
        <v>17</v>
      </c>
      <c r="H804" t="s">
        <v>18</v>
      </c>
      <c r="I804" t="s">
        <v>36</v>
      </c>
      <c r="J804">
        <v>71.209999999999994</v>
      </c>
      <c r="K804">
        <v>4383.0600000000004</v>
      </c>
      <c r="L804" t="s">
        <v>15</v>
      </c>
      <c r="M804" t="str">
        <f t="shared" si="13"/>
        <v>5 to 6 years</v>
      </c>
    </row>
    <row r="805" spans="1:13">
      <c r="A805" t="s">
        <v>829</v>
      </c>
      <c r="B805" t="s">
        <v>14</v>
      </c>
      <c r="C805" t="s">
        <v>15</v>
      </c>
      <c r="D805" t="s">
        <v>15</v>
      </c>
      <c r="E805" t="s">
        <v>15</v>
      </c>
      <c r="F805">
        <v>27</v>
      </c>
      <c r="G805" t="s">
        <v>22</v>
      </c>
      <c r="H805" t="s">
        <v>34</v>
      </c>
      <c r="I805" t="s">
        <v>26</v>
      </c>
      <c r="J805">
        <v>65.349999999999994</v>
      </c>
      <c r="K805">
        <v>1761.9</v>
      </c>
      <c r="L805" t="s">
        <v>15</v>
      </c>
      <c r="M805" t="str">
        <f t="shared" si="13"/>
        <v>2 to 3 years</v>
      </c>
    </row>
    <row r="806" spans="1:13">
      <c r="A806" t="s">
        <v>830</v>
      </c>
      <c r="B806" t="s">
        <v>21</v>
      </c>
      <c r="C806" t="s">
        <v>15</v>
      </c>
      <c r="D806" t="s">
        <v>15</v>
      </c>
      <c r="E806" t="s">
        <v>15</v>
      </c>
      <c r="F806">
        <v>16</v>
      </c>
      <c r="G806" t="s">
        <v>22</v>
      </c>
      <c r="H806" t="s">
        <v>15</v>
      </c>
      <c r="I806" t="s">
        <v>26</v>
      </c>
      <c r="J806">
        <v>51.19</v>
      </c>
      <c r="K806">
        <v>807.97</v>
      </c>
      <c r="L806" t="s">
        <v>16</v>
      </c>
      <c r="M806" t="str">
        <f t="shared" si="13"/>
        <v>1 to 2 years</v>
      </c>
    </row>
    <row r="807" spans="1:13">
      <c r="A807" t="s">
        <v>831</v>
      </c>
      <c r="B807" t="s">
        <v>21</v>
      </c>
      <c r="C807" t="s">
        <v>15</v>
      </c>
      <c r="D807" t="s">
        <v>15</v>
      </c>
      <c r="E807" t="s">
        <v>15</v>
      </c>
      <c r="F807">
        <v>5</v>
      </c>
      <c r="G807" t="s">
        <v>22</v>
      </c>
      <c r="H807" t="s">
        <v>34</v>
      </c>
      <c r="I807" t="s">
        <v>19</v>
      </c>
      <c r="J807">
        <v>116.61</v>
      </c>
      <c r="K807">
        <v>459.3</v>
      </c>
      <c r="L807" t="s">
        <v>16</v>
      </c>
      <c r="M807" t="str">
        <f t="shared" si="13"/>
        <v>Up to 1 year</v>
      </c>
    </row>
    <row r="808" spans="1:13">
      <c r="A808" t="s">
        <v>832</v>
      </c>
      <c r="B808" t="s">
        <v>21</v>
      </c>
      <c r="C808" t="s">
        <v>15</v>
      </c>
      <c r="D808" t="s">
        <v>15</v>
      </c>
      <c r="E808" t="s">
        <v>15</v>
      </c>
      <c r="F808">
        <v>18</v>
      </c>
      <c r="G808" t="s">
        <v>22</v>
      </c>
      <c r="H808" t="s">
        <v>18</v>
      </c>
      <c r="I808" t="s">
        <v>36</v>
      </c>
      <c r="J808">
        <v>42.9</v>
      </c>
      <c r="K808">
        <v>858.81</v>
      </c>
      <c r="L808" t="s">
        <v>16</v>
      </c>
      <c r="M808" t="str">
        <f t="shared" si="13"/>
        <v>1 to 2 years</v>
      </c>
    </row>
    <row r="809" spans="1:13">
      <c r="A809" t="s">
        <v>833</v>
      </c>
      <c r="B809" t="s">
        <v>14</v>
      </c>
      <c r="C809" t="s">
        <v>15</v>
      </c>
      <c r="D809" t="s">
        <v>15</v>
      </c>
      <c r="E809" t="s">
        <v>16</v>
      </c>
      <c r="F809">
        <v>55</v>
      </c>
      <c r="G809" t="s">
        <v>25</v>
      </c>
      <c r="H809" t="s">
        <v>18</v>
      </c>
      <c r="I809" t="s">
        <v>23</v>
      </c>
      <c r="J809">
        <v>35.729999999999997</v>
      </c>
      <c r="K809">
        <v>1946.98</v>
      </c>
      <c r="L809" t="s">
        <v>15</v>
      </c>
      <c r="M809" t="str">
        <f t="shared" si="13"/>
        <v>4 to 5 years</v>
      </c>
    </row>
    <row r="810" spans="1:13">
      <c r="A810" t="s">
        <v>834</v>
      </c>
      <c r="B810" t="s">
        <v>21</v>
      </c>
      <c r="C810" t="s">
        <v>15</v>
      </c>
      <c r="D810" t="s">
        <v>16</v>
      </c>
      <c r="E810" t="s">
        <v>15</v>
      </c>
      <c r="F810">
        <v>27</v>
      </c>
      <c r="G810" t="s">
        <v>22</v>
      </c>
      <c r="H810" t="s">
        <v>34</v>
      </c>
      <c r="I810" t="s">
        <v>23</v>
      </c>
      <c r="J810">
        <v>27.4</v>
      </c>
      <c r="K810">
        <v>891.67</v>
      </c>
      <c r="L810" t="s">
        <v>15</v>
      </c>
      <c r="M810" t="str">
        <f t="shared" si="13"/>
        <v>2 to 3 years</v>
      </c>
    </row>
    <row r="811" spans="1:13">
      <c r="A811" t="s">
        <v>835</v>
      </c>
      <c r="B811" t="s">
        <v>14</v>
      </c>
      <c r="C811" t="s">
        <v>15</v>
      </c>
      <c r="D811" t="s">
        <v>15</v>
      </c>
      <c r="E811" t="s">
        <v>15</v>
      </c>
      <c r="F811">
        <v>65</v>
      </c>
      <c r="G811" t="s">
        <v>17</v>
      </c>
      <c r="H811" t="s">
        <v>18</v>
      </c>
      <c r="I811" t="s">
        <v>36</v>
      </c>
      <c r="J811">
        <v>57.65</v>
      </c>
      <c r="K811">
        <v>3781</v>
      </c>
      <c r="L811" t="s">
        <v>15</v>
      </c>
      <c r="M811" t="str">
        <f t="shared" si="13"/>
        <v>5 to 6 years</v>
      </c>
    </row>
    <row r="812" spans="1:13">
      <c r="A812" t="s">
        <v>836</v>
      </c>
      <c r="B812" t="s">
        <v>14</v>
      </c>
      <c r="C812" t="s">
        <v>16</v>
      </c>
      <c r="D812" t="s">
        <v>15</v>
      </c>
      <c r="E812" t="s">
        <v>16</v>
      </c>
      <c r="F812">
        <v>37</v>
      </c>
      <c r="G812" t="s">
        <v>17</v>
      </c>
      <c r="H812" t="s">
        <v>34</v>
      </c>
      <c r="I812" t="s">
        <v>26</v>
      </c>
      <c r="J812">
        <v>87.5</v>
      </c>
      <c r="K812">
        <v>3035.81</v>
      </c>
      <c r="L812" t="s">
        <v>16</v>
      </c>
      <c r="M812" t="str">
        <f t="shared" si="13"/>
        <v>3 to 4 years</v>
      </c>
    </row>
    <row r="813" spans="1:13">
      <c r="A813" t="s">
        <v>837</v>
      </c>
      <c r="B813" t="s">
        <v>14</v>
      </c>
      <c r="C813" t="s">
        <v>15</v>
      </c>
      <c r="D813" t="s">
        <v>16</v>
      </c>
      <c r="E813" t="s">
        <v>15</v>
      </c>
      <c r="F813">
        <v>36</v>
      </c>
      <c r="G813" t="s">
        <v>25</v>
      </c>
      <c r="H813" t="s">
        <v>18</v>
      </c>
      <c r="I813" t="s">
        <v>23</v>
      </c>
      <c r="J813">
        <v>99.04</v>
      </c>
      <c r="K813">
        <v>3462.91</v>
      </c>
      <c r="L813" t="s">
        <v>15</v>
      </c>
      <c r="M813" t="str">
        <f t="shared" si="13"/>
        <v>2 to 3 years</v>
      </c>
    </row>
    <row r="814" spans="1:13">
      <c r="A814" t="s">
        <v>838</v>
      </c>
      <c r="B814" t="s">
        <v>14</v>
      </c>
      <c r="C814" t="s">
        <v>15</v>
      </c>
      <c r="D814" t="s">
        <v>15</v>
      </c>
      <c r="E814" t="s">
        <v>15</v>
      </c>
      <c r="F814">
        <v>67</v>
      </c>
      <c r="G814" t="s">
        <v>22</v>
      </c>
      <c r="H814" t="s">
        <v>34</v>
      </c>
      <c r="I814" t="s">
        <v>19</v>
      </c>
      <c r="J814">
        <v>54.81</v>
      </c>
      <c r="K814">
        <v>3500.59</v>
      </c>
      <c r="L814" t="s">
        <v>15</v>
      </c>
      <c r="M814" t="str">
        <f t="shared" si="13"/>
        <v>5 to 6 years</v>
      </c>
    </row>
    <row r="815" spans="1:13">
      <c r="A815" t="s">
        <v>839</v>
      </c>
      <c r="B815" t="s">
        <v>21</v>
      </c>
      <c r="C815" t="s">
        <v>15</v>
      </c>
      <c r="D815" t="s">
        <v>16</v>
      </c>
      <c r="E815" t="s">
        <v>16</v>
      </c>
      <c r="F815">
        <v>48</v>
      </c>
      <c r="G815" t="s">
        <v>25</v>
      </c>
      <c r="H815" t="s">
        <v>15</v>
      </c>
      <c r="I815" t="s">
        <v>19</v>
      </c>
      <c r="J815">
        <v>54.29</v>
      </c>
      <c r="K815">
        <v>2502.4</v>
      </c>
      <c r="L815" t="s">
        <v>15</v>
      </c>
      <c r="M815" t="str">
        <f t="shared" si="13"/>
        <v>3 to 4 years</v>
      </c>
    </row>
    <row r="816" spans="1:13">
      <c r="A816" t="s">
        <v>840</v>
      </c>
      <c r="B816" t="s">
        <v>21</v>
      </c>
      <c r="C816" t="s">
        <v>15</v>
      </c>
      <c r="D816" t="s">
        <v>16</v>
      </c>
      <c r="E816" t="s">
        <v>15</v>
      </c>
      <c r="F816">
        <v>42</v>
      </c>
      <c r="G816" t="s">
        <v>17</v>
      </c>
      <c r="H816" t="s">
        <v>15</v>
      </c>
      <c r="I816" t="s">
        <v>19</v>
      </c>
      <c r="J816">
        <v>27.09</v>
      </c>
      <c r="K816">
        <v>1007.09</v>
      </c>
      <c r="L816" t="s">
        <v>15</v>
      </c>
      <c r="M816" t="str">
        <f t="shared" si="13"/>
        <v>3 to 4 years</v>
      </c>
    </row>
    <row r="817" spans="1:13">
      <c r="A817" t="s">
        <v>841</v>
      </c>
      <c r="B817" t="s">
        <v>14</v>
      </c>
      <c r="C817" t="s">
        <v>15</v>
      </c>
      <c r="D817" t="s">
        <v>15</v>
      </c>
      <c r="E817" t="s">
        <v>15</v>
      </c>
      <c r="F817">
        <v>35</v>
      </c>
      <c r="G817" t="s">
        <v>25</v>
      </c>
      <c r="H817" t="s">
        <v>34</v>
      </c>
      <c r="I817" t="s">
        <v>23</v>
      </c>
      <c r="J817">
        <v>44.41</v>
      </c>
      <c r="K817">
        <v>1574.56</v>
      </c>
      <c r="L817" t="s">
        <v>15</v>
      </c>
      <c r="M817" t="str">
        <f t="shared" si="13"/>
        <v>2 to 3 years</v>
      </c>
    </row>
    <row r="818" spans="1:13">
      <c r="A818" t="s">
        <v>842</v>
      </c>
      <c r="B818" t="s">
        <v>14</v>
      </c>
      <c r="C818" t="s">
        <v>15</v>
      </c>
      <c r="D818" t="s">
        <v>16</v>
      </c>
      <c r="E818" t="s">
        <v>15</v>
      </c>
      <c r="F818">
        <v>57</v>
      </c>
      <c r="G818" t="s">
        <v>25</v>
      </c>
      <c r="H818" t="s">
        <v>34</v>
      </c>
      <c r="I818" t="s">
        <v>26</v>
      </c>
      <c r="J818">
        <v>84.5</v>
      </c>
      <c r="K818">
        <v>4791.21</v>
      </c>
      <c r="L818" t="s">
        <v>15</v>
      </c>
      <c r="M818" t="str">
        <f t="shared" si="13"/>
        <v>4 to 5 years</v>
      </c>
    </row>
    <row r="819" spans="1:13">
      <c r="A819" t="s">
        <v>843</v>
      </c>
      <c r="B819" t="s">
        <v>14</v>
      </c>
      <c r="C819" t="s">
        <v>15</v>
      </c>
      <c r="D819" t="s">
        <v>15</v>
      </c>
      <c r="E819" t="s">
        <v>16</v>
      </c>
      <c r="F819">
        <v>12</v>
      </c>
      <c r="G819" t="s">
        <v>22</v>
      </c>
      <c r="H819" t="s">
        <v>18</v>
      </c>
      <c r="I819" t="s">
        <v>23</v>
      </c>
      <c r="J819">
        <v>106.19</v>
      </c>
      <c r="K819">
        <v>1333.52</v>
      </c>
      <c r="L819" t="s">
        <v>15</v>
      </c>
      <c r="M819" t="str">
        <f t="shared" si="13"/>
        <v>Up to 1 year</v>
      </c>
    </row>
    <row r="820" spans="1:13">
      <c r="A820" t="s">
        <v>844</v>
      </c>
      <c r="B820" t="s">
        <v>21</v>
      </c>
      <c r="C820" t="s">
        <v>16</v>
      </c>
      <c r="D820" t="s">
        <v>16</v>
      </c>
      <c r="E820" t="s">
        <v>16</v>
      </c>
      <c r="F820">
        <v>51</v>
      </c>
      <c r="G820" t="s">
        <v>22</v>
      </c>
      <c r="H820" t="s">
        <v>34</v>
      </c>
      <c r="I820" t="s">
        <v>36</v>
      </c>
      <c r="J820">
        <v>58.08</v>
      </c>
      <c r="K820">
        <v>2959.03</v>
      </c>
      <c r="L820" t="s">
        <v>15</v>
      </c>
      <c r="M820" t="str">
        <f t="shared" si="13"/>
        <v>4 to 5 years</v>
      </c>
    </row>
    <row r="821" spans="1:13">
      <c r="A821" t="s">
        <v>845</v>
      </c>
      <c r="B821" t="s">
        <v>14</v>
      </c>
      <c r="C821" t="s">
        <v>16</v>
      </c>
      <c r="D821" t="s">
        <v>16</v>
      </c>
      <c r="E821" t="s">
        <v>15</v>
      </c>
      <c r="F821">
        <v>57</v>
      </c>
      <c r="G821" t="s">
        <v>22</v>
      </c>
      <c r="H821" t="s">
        <v>15</v>
      </c>
      <c r="I821" t="s">
        <v>36</v>
      </c>
      <c r="J821">
        <v>95.88</v>
      </c>
      <c r="K821">
        <v>5445.94</v>
      </c>
      <c r="L821" t="s">
        <v>15</v>
      </c>
      <c r="M821" t="str">
        <f t="shared" si="13"/>
        <v>4 to 5 years</v>
      </c>
    </row>
    <row r="822" spans="1:13">
      <c r="A822" t="s">
        <v>846</v>
      </c>
      <c r="B822" t="s">
        <v>14</v>
      </c>
      <c r="C822" t="s">
        <v>15</v>
      </c>
      <c r="D822" t="s">
        <v>16</v>
      </c>
      <c r="E822" t="s">
        <v>15</v>
      </c>
      <c r="F822">
        <v>31</v>
      </c>
      <c r="G822" t="s">
        <v>22</v>
      </c>
      <c r="H822" t="s">
        <v>18</v>
      </c>
      <c r="I822" t="s">
        <v>19</v>
      </c>
      <c r="J822">
        <v>104.14</v>
      </c>
      <c r="K822">
        <v>3388.6</v>
      </c>
      <c r="L822" t="s">
        <v>15</v>
      </c>
      <c r="M822" t="str">
        <f t="shared" si="13"/>
        <v>2 to 3 years</v>
      </c>
    </row>
    <row r="823" spans="1:13">
      <c r="A823" t="s">
        <v>847</v>
      </c>
      <c r="B823" t="s">
        <v>21</v>
      </c>
      <c r="C823" t="s">
        <v>16</v>
      </c>
      <c r="D823" t="s">
        <v>15</v>
      </c>
      <c r="E823" t="s">
        <v>16</v>
      </c>
      <c r="F823">
        <v>59</v>
      </c>
      <c r="G823" t="s">
        <v>22</v>
      </c>
      <c r="H823" t="s">
        <v>18</v>
      </c>
      <c r="I823" t="s">
        <v>23</v>
      </c>
      <c r="J823">
        <v>119.79</v>
      </c>
      <c r="K823">
        <v>7085.44</v>
      </c>
      <c r="L823" t="s">
        <v>15</v>
      </c>
      <c r="M823" t="str">
        <f t="shared" si="13"/>
        <v>4 to 5 years</v>
      </c>
    </row>
    <row r="824" spans="1:13">
      <c r="A824" t="s">
        <v>848</v>
      </c>
      <c r="B824" t="s">
        <v>21</v>
      </c>
      <c r="C824" t="s">
        <v>15</v>
      </c>
      <c r="D824" t="s">
        <v>15</v>
      </c>
      <c r="E824" t="s">
        <v>15</v>
      </c>
      <c r="F824">
        <v>57</v>
      </c>
      <c r="G824" t="s">
        <v>22</v>
      </c>
      <c r="H824" t="s">
        <v>18</v>
      </c>
      <c r="I824" t="s">
        <v>23</v>
      </c>
      <c r="J824">
        <v>72.48</v>
      </c>
      <c r="K824">
        <v>4124.92</v>
      </c>
      <c r="L824" t="s">
        <v>16</v>
      </c>
      <c r="M824" t="str">
        <f t="shared" si="13"/>
        <v>4 to 5 years</v>
      </c>
    </row>
    <row r="825" spans="1:13">
      <c r="A825" t="s">
        <v>849</v>
      </c>
      <c r="B825" t="s">
        <v>14</v>
      </c>
      <c r="C825" t="s">
        <v>15</v>
      </c>
      <c r="D825" t="s">
        <v>16</v>
      </c>
      <c r="E825" t="s">
        <v>16</v>
      </c>
      <c r="F825">
        <v>55</v>
      </c>
      <c r="G825" t="s">
        <v>22</v>
      </c>
      <c r="H825" t="s">
        <v>18</v>
      </c>
      <c r="I825" t="s">
        <v>19</v>
      </c>
      <c r="J825">
        <v>118.02</v>
      </c>
      <c r="K825">
        <v>6422.82</v>
      </c>
      <c r="L825" t="s">
        <v>15</v>
      </c>
      <c r="M825" t="str">
        <f t="shared" si="13"/>
        <v>4 to 5 years</v>
      </c>
    </row>
    <row r="826" spans="1:13">
      <c r="A826" t="s">
        <v>850</v>
      </c>
      <c r="B826" t="s">
        <v>21</v>
      </c>
      <c r="C826" t="s">
        <v>15</v>
      </c>
      <c r="D826" t="s">
        <v>16</v>
      </c>
      <c r="E826" t="s">
        <v>15</v>
      </c>
      <c r="F826">
        <v>27</v>
      </c>
      <c r="G826" t="s">
        <v>22</v>
      </c>
      <c r="H826" t="s">
        <v>15</v>
      </c>
      <c r="I826" t="s">
        <v>26</v>
      </c>
      <c r="J826">
        <v>109.49</v>
      </c>
      <c r="K826">
        <v>2862.16</v>
      </c>
      <c r="L826" t="s">
        <v>15</v>
      </c>
      <c r="M826" t="str">
        <f t="shared" si="13"/>
        <v>2 to 3 years</v>
      </c>
    </row>
    <row r="827" spans="1:13">
      <c r="A827" t="s">
        <v>851</v>
      </c>
      <c r="B827" t="s">
        <v>21</v>
      </c>
      <c r="C827" t="s">
        <v>15</v>
      </c>
      <c r="D827" t="s">
        <v>15</v>
      </c>
      <c r="E827" t="s">
        <v>15</v>
      </c>
      <c r="F827">
        <v>0</v>
      </c>
      <c r="G827" t="s">
        <v>22</v>
      </c>
      <c r="H827" t="s">
        <v>15</v>
      </c>
      <c r="I827" t="s">
        <v>19</v>
      </c>
      <c r="J827">
        <v>44.69</v>
      </c>
      <c r="K827">
        <v>61.64</v>
      </c>
      <c r="L827" t="s">
        <v>15</v>
      </c>
      <c r="M827" t="str">
        <f t="shared" si="13"/>
        <v>Just signed</v>
      </c>
    </row>
    <row r="828" spans="1:13">
      <c r="A828" t="s">
        <v>852</v>
      </c>
      <c r="B828" t="s">
        <v>14</v>
      </c>
      <c r="C828" t="s">
        <v>15</v>
      </c>
      <c r="D828" t="s">
        <v>15</v>
      </c>
      <c r="E828" t="s">
        <v>15</v>
      </c>
      <c r="F828">
        <v>41</v>
      </c>
      <c r="G828" t="s">
        <v>22</v>
      </c>
      <c r="H828" t="s">
        <v>34</v>
      </c>
      <c r="I828" t="s">
        <v>26</v>
      </c>
      <c r="J828">
        <v>66.150000000000006</v>
      </c>
      <c r="K828">
        <v>2769.01</v>
      </c>
      <c r="L828" t="s">
        <v>15</v>
      </c>
      <c r="M828" t="str">
        <f t="shared" si="13"/>
        <v>3 to 4 years</v>
      </c>
    </row>
    <row r="829" spans="1:13">
      <c r="A829" t="s">
        <v>853</v>
      </c>
      <c r="B829" t="s">
        <v>21</v>
      </c>
      <c r="C829" t="s">
        <v>15</v>
      </c>
      <c r="D829" t="s">
        <v>16</v>
      </c>
      <c r="E829" t="s">
        <v>16</v>
      </c>
      <c r="F829">
        <v>47</v>
      </c>
      <c r="G829" t="s">
        <v>22</v>
      </c>
      <c r="H829" t="s">
        <v>34</v>
      </c>
      <c r="I829" t="s">
        <v>19</v>
      </c>
      <c r="J829">
        <v>46.31</v>
      </c>
      <c r="K829">
        <v>2302.3000000000002</v>
      </c>
      <c r="L829" t="s">
        <v>15</v>
      </c>
      <c r="M829" t="str">
        <f t="shared" si="13"/>
        <v>3 to 4 years</v>
      </c>
    </row>
    <row r="830" spans="1:13">
      <c r="A830" t="s">
        <v>854</v>
      </c>
      <c r="B830" t="s">
        <v>14</v>
      </c>
      <c r="C830" t="s">
        <v>15</v>
      </c>
      <c r="D830" t="s">
        <v>16</v>
      </c>
      <c r="E830" t="s">
        <v>15</v>
      </c>
      <c r="F830">
        <v>39</v>
      </c>
      <c r="G830" t="s">
        <v>22</v>
      </c>
      <c r="H830" t="s">
        <v>15</v>
      </c>
      <c r="I830" t="s">
        <v>23</v>
      </c>
      <c r="J830">
        <v>26.39</v>
      </c>
      <c r="K830">
        <v>1067.52</v>
      </c>
      <c r="L830" t="s">
        <v>15</v>
      </c>
      <c r="M830" t="str">
        <f t="shared" si="13"/>
        <v>3 to 4 years</v>
      </c>
    </row>
    <row r="831" spans="1:13">
      <c r="A831" t="s">
        <v>855</v>
      </c>
      <c r="B831" t="s">
        <v>21</v>
      </c>
      <c r="C831" t="s">
        <v>15</v>
      </c>
      <c r="D831" t="s">
        <v>15</v>
      </c>
      <c r="E831" t="s">
        <v>16</v>
      </c>
      <c r="F831">
        <v>62</v>
      </c>
      <c r="G831" t="s">
        <v>22</v>
      </c>
      <c r="H831" t="s">
        <v>15</v>
      </c>
      <c r="I831" t="s">
        <v>23</v>
      </c>
      <c r="J831">
        <v>26.69</v>
      </c>
      <c r="K831">
        <v>1623.33</v>
      </c>
      <c r="L831" t="s">
        <v>15</v>
      </c>
      <c r="M831" t="str">
        <f t="shared" si="13"/>
        <v>5 to 6 years</v>
      </c>
    </row>
    <row r="832" spans="1:13">
      <c r="A832" t="s">
        <v>856</v>
      </c>
      <c r="B832" t="s">
        <v>14</v>
      </c>
      <c r="C832" t="s">
        <v>15</v>
      </c>
      <c r="D832" t="s">
        <v>15</v>
      </c>
      <c r="E832" t="s">
        <v>15</v>
      </c>
      <c r="F832">
        <v>71</v>
      </c>
      <c r="G832" t="s">
        <v>22</v>
      </c>
      <c r="H832" t="s">
        <v>34</v>
      </c>
      <c r="I832" t="s">
        <v>23</v>
      </c>
      <c r="J832">
        <v>49.71</v>
      </c>
      <c r="K832">
        <v>3570.29</v>
      </c>
      <c r="L832" t="s">
        <v>15</v>
      </c>
      <c r="M832" t="str">
        <f t="shared" si="13"/>
        <v>5 to 6 years</v>
      </c>
    </row>
    <row r="833" spans="1:13">
      <c r="A833" t="s">
        <v>857</v>
      </c>
      <c r="B833" t="s">
        <v>14</v>
      </c>
      <c r="C833" t="s">
        <v>15</v>
      </c>
      <c r="D833" t="s">
        <v>15</v>
      </c>
      <c r="E833" t="s">
        <v>15</v>
      </c>
      <c r="F833">
        <v>3</v>
      </c>
      <c r="G833" t="s">
        <v>25</v>
      </c>
      <c r="H833" t="s">
        <v>18</v>
      </c>
      <c r="I833" t="s">
        <v>23</v>
      </c>
      <c r="J833">
        <v>86.87</v>
      </c>
      <c r="K833">
        <v>254.19</v>
      </c>
      <c r="L833" t="s">
        <v>15</v>
      </c>
      <c r="M833" t="str">
        <f t="shared" si="13"/>
        <v>Up to 1 year</v>
      </c>
    </row>
    <row r="834" spans="1:13">
      <c r="A834" t="s">
        <v>858</v>
      </c>
      <c r="B834" t="s">
        <v>14</v>
      </c>
      <c r="C834" t="s">
        <v>15</v>
      </c>
      <c r="D834" t="s">
        <v>15</v>
      </c>
      <c r="E834" t="s">
        <v>16</v>
      </c>
      <c r="F834">
        <v>37</v>
      </c>
      <c r="G834" t="s">
        <v>22</v>
      </c>
      <c r="H834" t="s">
        <v>18</v>
      </c>
      <c r="I834" t="s">
        <v>19</v>
      </c>
      <c r="J834">
        <v>60.77</v>
      </c>
      <c r="K834">
        <v>2317.7199999999998</v>
      </c>
      <c r="L834" t="s">
        <v>15</v>
      </c>
      <c r="M834" t="str">
        <f t="shared" si="13"/>
        <v>3 to 4 years</v>
      </c>
    </row>
    <row r="835" spans="1:13">
      <c r="A835" t="s">
        <v>859</v>
      </c>
      <c r="B835" t="s">
        <v>21</v>
      </c>
      <c r="C835" t="s">
        <v>15</v>
      </c>
      <c r="D835" t="s">
        <v>15</v>
      </c>
      <c r="E835" t="s">
        <v>16</v>
      </c>
      <c r="F835">
        <v>26</v>
      </c>
      <c r="G835" t="s">
        <v>22</v>
      </c>
      <c r="H835" t="s">
        <v>34</v>
      </c>
      <c r="I835" t="s">
        <v>36</v>
      </c>
      <c r="J835">
        <v>76.099999999999994</v>
      </c>
      <c r="K835">
        <v>2085.35</v>
      </c>
      <c r="L835" t="s">
        <v>15</v>
      </c>
      <c r="M835" t="str">
        <f t="shared" ref="M835:M898" si="14">IF(F835=0,"Just signed",IF(F835&lt;=12,"Up to 1 year",IF(F835&lt;=24,"1 to 2 years",IF(F835&lt;=36,"2 to 3 years",IF(F835&lt;=48,"3 to 4 years",IF(F835&lt;=60,"4 to 5 years","5 to 6 years"))))))</f>
        <v>2 to 3 years</v>
      </c>
    </row>
    <row r="836" spans="1:13">
      <c r="A836" t="s">
        <v>860</v>
      </c>
      <c r="B836" t="s">
        <v>14</v>
      </c>
      <c r="C836" t="s">
        <v>15</v>
      </c>
      <c r="D836" t="s">
        <v>16</v>
      </c>
      <c r="E836" t="s">
        <v>15</v>
      </c>
      <c r="F836">
        <v>8</v>
      </c>
      <c r="G836" t="s">
        <v>22</v>
      </c>
      <c r="H836" t="s">
        <v>15</v>
      </c>
      <c r="I836" t="s">
        <v>36</v>
      </c>
      <c r="J836">
        <v>61.62</v>
      </c>
      <c r="K836">
        <v>479.48</v>
      </c>
      <c r="L836" t="s">
        <v>16</v>
      </c>
      <c r="M836" t="str">
        <f t="shared" si="14"/>
        <v>Up to 1 year</v>
      </c>
    </row>
    <row r="837" spans="1:13">
      <c r="A837" t="s">
        <v>861</v>
      </c>
      <c r="B837" t="s">
        <v>21</v>
      </c>
      <c r="C837" t="s">
        <v>15</v>
      </c>
      <c r="D837" t="s">
        <v>15</v>
      </c>
      <c r="E837" t="s">
        <v>15</v>
      </c>
      <c r="F837">
        <v>15</v>
      </c>
      <c r="G837" t="s">
        <v>25</v>
      </c>
      <c r="H837" t="s">
        <v>34</v>
      </c>
      <c r="I837" t="s">
        <v>23</v>
      </c>
      <c r="J837">
        <v>58.25</v>
      </c>
      <c r="K837">
        <v>1014.33</v>
      </c>
      <c r="L837" t="s">
        <v>15</v>
      </c>
      <c r="M837" t="str">
        <f t="shared" si="14"/>
        <v>1 to 2 years</v>
      </c>
    </row>
    <row r="838" spans="1:13">
      <c r="A838" t="s">
        <v>862</v>
      </c>
      <c r="B838" t="s">
        <v>14</v>
      </c>
      <c r="C838" t="s">
        <v>15</v>
      </c>
      <c r="D838" t="s">
        <v>16</v>
      </c>
      <c r="E838" t="s">
        <v>15</v>
      </c>
      <c r="F838">
        <v>55</v>
      </c>
      <c r="G838" t="s">
        <v>25</v>
      </c>
      <c r="H838" t="s">
        <v>15</v>
      </c>
      <c r="I838" t="s">
        <v>23</v>
      </c>
      <c r="J838">
        <v>53.43</v>
      </c>
      <c r="K838">
        <v>3033.72</v>
      </c>
      <c r="L838" t="s">
        <v>15</v>
      </c>
      <c r="M838" t="str">
        <f t="shared" si="14"/>
        <v>4 to 5 years</v>
      </c>
    </row>
    <row r="839" spans="1:13">
      <c r="A839" t="s">
        <v>863</v>
      </c>
      <c r="B839" t="s">
        <v>14</v>
      </c>
      <c r="C839" t="s">
        <v>15</v>
      </c>
      <c r="D839" t="s">
        <v>15</v>
      </c>
      <c r="E839" t="s">
        <v>16</v>
      </c>
      <c r="F839">
        <v>30</v>
      </c>
      <c r="G839" t="s">
        <v>25</v>
      </c>
      <c r="H839" t="s">
        <v>34</v>
      </c>
      <c r="I839" t="s">
        <v>23</v>
      </c>
      <c r="J839">
        <v>56.8</v>
      </c>
      <c r="K839">
        <v>1705.41</v>
      </c>
      <c r="L839" t="s">
        <v>15</v>
      </c>
      <c r="M839" t="str">
        <f t="shared" si="14"/>
        <v>2 to 3 years</v>
      </c>
    </row>
    <row r="840" spans="1:13">
      <c r="A840" t="s">
        <v>864</v>
      </c>
      <c r="B840" t="s">
        <v>21</v>
      </c>
      <c r="C840" t="s">
        <v>16</v>
      </c>
      <c r="D840" t="s">
        <v>16</v>
      </c>
      <c r="E840" t="s">
        <v>15</v>
      </c>
      <c r="F840">
        <v>13</v>
      </c>
      <c r="G840" t="s">
        <v>17</v>
      </c>
      <c r="H840" t="s">
        <v>18</v>
      </c>
      <c r="I840" t="s">
        <v>23</v>
      </c>
      <c r="J840">
        <v>72.23</v>
      </c>
      <c r="K840">
        <v>992.65</v>
      </c>
      <c r="L840" t="s">
        <v>15</v>
      </c>
      <c r="M840" t="str">
        <f t="shared" si="14"/>
        <v>1 to 2 years</v>
      </c>
    </row>
    <row r="841" spans="1:13">
      <c r="A841" t="s">
        <v>865</v>
      </c>
      <c r="B841" t="s">
        <v>14</v>
      </c>
      <c r="C841" t="s">
        <v>16</v>
      </c>
      <c r="D841" t="s">
        <v>15</v>
      </c>
      <c r="E841" t="s">
        <v>15</v>
      </c>
      <c r="F841">
        <v>24</v>
      </c>
      <c r="G841" t="s">
        <v>22</v>
      </c>
      <c r="H841" t="s">
        <v>34</v>
      </c>
      <c r="I841" t="s">
        <v>19</v>
      </c>
      <c r="J841">
        <v>49.78</v>
      </c>
      <c r="K841">
        <v>1219.1600000000001</v>
      </c>
      <c r="L841" t="s">
        <v>15</v>
      </c>
      <c r="M841" t="str">
        <f t="shared" si="14"/>
        <v>1 to 2 years</v>
      </c>
    </row>
    <row r="842" spans="1:13">
      <c r="A842" t="s">
        <v>866</v>
      </c>
      <c r="B842" t="s">
        <v>14</v>
      </c>
      <c r="C842" t="s">
        <v>15</v>
      </c>
      <c r="D842" t="s">
        <v>15</v>
      </c>
      <c r="E842" t="s">
        <v>15</v>
      </c>
      <c r="F842">
        <v>33</v>
      </c>
      <c r="G842" t="s">
        <v>22</v>
      </c>
      <c r="H842" t="s">
        <v>18</v>
      </c>
      <c r="I842" t="s">
        <v>19</v>
      </c>
      <c r="J842">
        <v>82.1</v>
      </c>
      <c r="K842">
        <v>2711.06</v>
      </c>
      <c r="L842" t="s">
        <v>15</v>
      </c>
      <c r="M842" t="str">
        <f t="shared" si="14"/>
        <v>2 to 3 years</v>
      </c>
    </row>
    <row r="843" spans="1:13">
      <c r="A843" t="s">
        <v>867</v>
      </c>
      <c r="B843" t="s">
        <v>21</v>
      </c>
      <c r="C843" t="s">
        <v>15</v>
      </c>
      <c r="D843" t="s">
        <v>16</v>
      </c>
      <c r="E843" t="s">
        <v>15</v>
      </c>
      <c r="F843">
        <v>66</v>
      </c>
      <c r="G843" t="s">
        <v>22</v>
      </c>
      <c r="H843" t="s">
        <v>18</v>
      </c>
      <c r="I843" t="s">
        <v>23</v>
      </c>
      <c r="J843">
        <v>64.989999999999995</v>
      </c>
      <c r="K843">
        <v>4442.3900000000003</v>
      </c>
      <c r="L843" t="s">
        <v>15</v>
      </c>
      <c r="M843" t="str">
        <f t="shared" si="14"/>
        <v>5 to 6 years</v>
      </c>
    </row>
    <row r="844" spans="1:13">
      <c r="A844" t="s">
        <v>868</v>
      </c>
      <c r="B844" t="s">
        <v>14</v>
      </c>
      <c r="C844" t="s">
        <v>15</v>
      </c>
      <c r="D844" t="s">
        <v>16</v>
      </c>
      <c r="E844" t="s">
        <v>15</v>
      </c>
      <c r="F844">
        <v>23</v>
      </c>
      <c r="G844" t="s">
        <v>25</v>
      </c>
      <c r="H844" t="s">
        <v>34</v>
      </c>
      <c r="I844" t="s">
        <v>23</v>
      </c>
      <c r="J844">
        <v>40.85</v>
      </c>
      <c r="K844">
        <v>980.96</v>
      </c>
      <c r="L844" t="s">
        <v>15</v>
      </c>
      <c r="M844" t="str">
        <f t="shared" si="14"/>
        <v>1 to 2 years</v>
      </c>
    </row>
    <row r="845" spans="1:13">
      <c r="A845" t="s">
        <v>869</v>
      </c>
      <c r="B845" t="s">
        <v>14</v>
      </c>
      <c r="C845" t="s">
        <v>15</v>
      </c>
      <c r="D845" t="s">
        <v>15</v>
      </c>
      <c r="E845" t="s">
        <v>15</v>
      </c>
      <c r="F845">
        <v>72</v>
      </c>
      <c r="G845" t="s">
        <v>17</v>
      </c>
      <c r="H845" t="s">
        <v>18</v>
      </c>
      <c r="I845" t="s">
        <v>23</v>
      </c>
      <c r="J845">
        <v>94.84</v>
      </c>
      <c r="K845">
        <v>6761.2</v>
      </c>
      <c r="L845" t="s">
        <v>15</v>
      </c>
      <c r="M845" t="str">
        <f t="shared" si="14"/>
        <v>5 to 6 years</v>
      </c>
    </row>
    <row r="846" spans="1:13">
      <c r="A846" t="s">
        <v>870</v>
      </c>
      <c r="B846" t="s">
        <v>14</v>
      </c>
      <c r="C846" t="s">
        <v>15</v>
      </c>
      <c r="D846" t="s">
        <v>15</v>
      </c>
      <c r="E846" t="s">
        <v>15</v>
      </c>
      <c r="F846">
        <v>25</v>
      </c>
      <c r="G846" t="s">
        <v>17</v>
      </c>
      <c r="H846" t="s">
        <v>18</v>
      </c>
      <c r="I846" t="s">
        <v>23</v>
      </c>
      <c r="J846">
        <v>95.68</v>
      </c>
      <c r="K846">
        <v>2309.7600000000002</v>
      </c>
      <c r="L846" t="s">
        <v>15</v>
      </c>
      <c r="M846" t="str">
        <f t="shared" si="14"/>
        <v>2 to 3 years</v>
      </c>
    </row>
    <row r="847" spans="1:13">
      <c r="A847" t="s">
        <v>871</v>
      </c>
      <c r="B847" t="s">
        <v>14</v>
      </c>
      <c r="C847" t="s">
        <v>15</v>
      </c>
      <c r="D847" t="s">
        <v>15</v>
      </c>
      <c r="E847" t="s">
        <v>15</v>
      </c>
      <c r="F847">
        <v>19</v>
      </c>
      <c r="G847" t="s">
        <v>22</v>
      </c>
      <c r="H847" t="s">
        <v>34</v>
      </c>
      <c r="I847" t="s">
        <v>26</v>
      </c>
      <c r="J847">
        <v>97.79</v>
      </c>
      <c r="K847">
        <v>1779.04</v>
      </c>
      <c r="L847" t="s">
        <v>15</v>
      </c>
      <c r="M847" t="str">
        <f t="shared" si="14"/>
        <v>1 to 2 years</v>
      </c>
    </row>
    <row r="848" spans="1:13">
      <c r="A848" t="s">
        <v>872</v>
      </c>
      <c r="B848" t="s">
        <v>21</v>
      </c>
      <c r="C848" t="s">
        <v>15</v>
      </c>
      <c r="D848" t="s">
        <v>15</v>
      </c>
      <c r="E848" t="s">
        <v>15</v>
      </c>
      <c r="F848">
        <v>63</v>
      </c>
      <c r="G848" t="s">
        <v>25</v>
      </c>
      <c r="H848" t="s">
        <v>18</v>
      </c>
      <c r="I848" t="s">
        <v>23</v>
      </c>
      <c r="J848">
        <v>54.39</v>
      </c>
      <c r="K848">
        <v>3465.73</v>
      </c>
      <c r="L848" t="s">
        <v>15</v>
      </c>
      <c r="M848" t="str">
        <f t="shared" si="14"/>
        <v>5 to 6 years</v>
      </c>
    </row>
    <row r="849" spans="1:13">
      <c r="A849" t="s">
        <v>873</v>
      </c>
      <c r="B849" t="s">
        <v>21</v>
      </c>
      <c r="C849" t="s">
        <v>15</v>
      </c>
      <c r="D849" t="s">
        <v>15</v>
      </c>
      <c r="E849" t="s">
        <v>16</v>
      </c>
      <c r="F849">
        <v>9</v>
      </c>
      <c r="G849" t="s">
        <v>22</v>
      </c>
      <c r="H849" t="s">
        <v>34</v>
      </c>
      <c r="I849" t="s">
        <v>19</v>
      </c>
      <c r="J849">
        <v>57.98</v>
      </c>
      <c r="K849">
        <v>494.5</v>
      </c>
      <c r="L849" t="s">
        <v>15</v>
      </c>
      <c r="M849" t="str">
        <f t="shared" si="14"/>
        <v>Up to 1 year</v>
      </c>
    </row>
    <row r="850" spans="1:13">
      <c r="A850" t="s">
        <v>874</v>
      </c>
      <c r="B850" t="s">
        <v>14</v>
      </c>
      <c r="C850" t="s">
        <v>15</v>
      </c>
      <c r="D850" t="s">
        <v>16</v>
      </c>
      <c r="E850" t="s">
        <v>15</v>
      </c>
      <c r="F850">
        <v>66</v>
      </c>
      <c r="G850" t="s">
        <v>22</v>
      </c>
      <c r="H850" t="s">
        <v>18</v>
      </c>
      <c r="I850" t="s">
        <v>26</v>
      </c>
      <c r="J850">
        <v>85.76</v>
      </c>
      <c r="K850">
        <v>5686.82</v>
      </c>
      <c r="L850" t="s">
        <v>15</v>
      </c>
      <c r="M850" t="str">
        <f t="shared" si="14"/>
        <v>5 to 6 years</v>
      </c>
    </row>
    <row r="851" spans="1:13">
      <c r="A851" t="s">
        <v>875</v>
      </c>
      <c r="B851" t="s">
        <v>21</v>
      </c>
      <c r="C851" t="s">
        <v>16</v>
      </c>
      <c r="D851" t="s">
        <v>16</v>
      </c>
      <c r="E851" t="s">
        <v>15</v>
      </c>
      <c r="F851">
        <v>23</v>
      </c>
      <c r="G851" t="s">
        <v>22</v>
      </c>
      <c r="H851" t="s">
        <v>18</v>
      </c>
      <c r="I851" t="s">
        <v>36</v>
      </c>
      <c r="J851">
        <v>67.45</v>
      </c>
      <c r="K851">
        <v>1626.26</v>
      </c>
      <c r="L851" t="s">
        <v>16</v>
      </c>
      <c r="M851" t="str">
        <f t="shared" si="14"/>
        <v>1 to 2 years</v>
      </c>
    </row>
    <row r="852" spans="1:13">
      <c r="A852" t="s">
        <v>876</v>
      </c>
      <c r="B852" t="s">
        <v>14</v>
      </c>
      <c r="C852" t="s">
        <v>15</v>
      </c>
      <c r="D852" t="s">
        <v>15</v>
      </c>
      <c r="E852" t="s">
        <v>15</v>
      </c>
      <c r="F852">
        <v>4</v>
      </c>
      <c r="G852" t="s">
        <v>17</v>
      </c>
      <c r="H852" t="s">
        <v>18</v>
      </c>
      <c r="I852" t="s">
        <v>36</v>
      </c>
      <c r="J852">
        <v>94.27</v>
      </c>
      <c r="K852">
        <v>539.38</v>
      </c>
      <c r="L852" t="s">
        <v>15</v>
      </c>
      <c r="M852" t="str">
        <f t="shared" si="14"/>
        <v>Up to 1 year</v>
      </c>
    </row>
    <row r="853" spans="1:13">
      <c r="A853" t="s">
        <v>877</v>
      </c>
      <c r="B853" t="s">
        <v>21</v>
      </c>
      <c r="C853" t="s">
        <v>15</v>
      </c>
      <c r="D853" t="s">
        <v>16</v>
      </c>
      <c r="E853" t="s">
        <v>16</v>
      </c>
      <c r="F853">
        <v>66</v>
      </c>
      <c r="G853" t="s">
        <v>22</v>
      </c>
      <c r="H853" t="s">
        <v>34</v>
      </c>
      <c r="I853" t="s">
        <v>26</v>
      </c>
      <c r="J853">
        <v>82.45</v>
      </c>
      <c r="K853">
        <v>5416.22</v>
      </c>
      <c r="L853" t="s">
        <v>15</v>
      </c>
      <c r="M853" t="str">
        <f t="shared" si="14"/>
        <v>5 to 6 years</v>
      </c>
    </row>
    <row r="854" spans="1:13">
      <c r="A854" t="s">
        <v>878</v>
      </c>
      <c r="B854" t="s">
        <v>14</v>
      </c>
      <c r="C854" t="s">
        <v>15</v>
      </c>
      <c r="D854" t="s">
        <v>16</v>
      </c>
      <c r="E854" t="s">
        <v>16</v>
      </c>
      <c r="F854">
        <v>57</v>
      </c>
      <c r="G854" t="s">
        <v>25</v>
      </c>
      <c r="H854" t="s">
        <v>18</v>
      </c>
      <c r="I854" t="s">
        <v>23</v>
      </c>
      <c r="J854">
        <v>91.98</v>
      </c>
      <c r="K854">
        <v>5130.18</v>
      </c>
      <c r="L854" t="s">
        <v>15</v>
      </c>
      <c r="M854" t="str">
        <f t="shared" si="14"/>
        <v>4 to 5 years</v>
      </c>
    </row>
    <row r="855" spans="1:13">
      <c r="A855" t="s">
        <v>879</v>
      </c>
      <c r="B855" t="s">
        <v>14</v>
      </c>
      <c r="C855" t="s">
        <v>15</v>
      </c>
      <c r="D855" t="s">
        <v>16</v>
      </c>
      <c r="E855" t="s">
        <v>15</v>
      </c>
      <c r="F855">
        <v>26</v>
      </c>
      <c r="G855" t="s">
        <v>22</v>
      </c>
      <c r="H855" t="s">
        <v>18</v>
      </c>
      <c r="I855" t="s">
        <v>26</v>
      </c>
      <c r="J855">
        <v>116.49</v>
      </c>
      <c r="K855">
        <v>3172.13</v>
      </c>
      <c r="L855" t="s">
        <v>15</v>
      </c>
      <c r="M855" t="str">
        <f t="shared" si="14"/>
        <v>2 to 3 years</v>
      </c>
    </row>
    <row r="856" spans="1:13">
      <c r="A856" t="s">
        <v>880</v>
      </c>
      <c r="B856" t="s">
        <v>14</v>
      </c>
      <c r="C856" t="s">
        <v>15</v>
      </c>
      <c r="D856" t="s">
        <v>15</v>
      </c>
      <c r="E856" t="s">
        <v>16</v>
      </c>
      <c r="F856">
        <v>14</v>
      </c>
      <c r="G856" t="s">
        <v>17</v>
      </c>
      <c r="H856" t="s">
        <v>18</v>
      </c>
      <c r="I856" t="s">
        <v>26</v>
      </c>
      <c r="J856">
        <v>96.1</v>
      </c>
      <c r="K856">
        <v>1228.83</v>
      </c>
      <c r="L856" t="s">
        <v>16</v>
      </c>
      <c r="M856" t="str">
        <f t="shared" si="14"/>
        <v>1 to 2 years</v>
      </c>
    </row>
    <row r="857" spans="1:13">
      <c r="A857" t="s">
        <v>881</v>
      </c>
      <c r="B857" t="s">
        <v>14</v>
      </c>
      <c r="C857" t="s">
        <v>15</v>
      </c>
      <c r="D857" t="s">
        <v>16</v>
      </c>
      <c r="E857" t="s">
        <v>15</v>
      </c>
      <c r="F857">
        <v>34</v>
      </c>
      <c r="G857" t="s">
        <v>22</v>
      </c>
      <c r="H857" t="s">
        <v>18</v>
      </c>
      <c r="I857" t="s">
        <v>23</v>
      </c>
      <c r="J857">
        <v>83.85</v>
      </c>
      <c r="K857">
        <v>2731.19</v>
      </c>
      <c r="L857" t="s">
        <v>16</v>
      </c>
      <c r="M857" t="str">
        <f t="shared" si="14"/>
        <v>2 to 3 years</v>
      </c>
    </row>
    <row r="858" spans="1:13">
      <c r="A858" t="s">
        <v>882</v>
      </c>
      <c r="B858" t="s">
        <v>14</v>
      </c>
      <c r="C858" t="s">
        <v>15</v>
      </c>
      <c r="D858" t="s">
        <v>15</v>
      </c>
      <c r="E858" t="s">
        <v>16</v>
      </c>
      <c r="F858">
        <v>52</v>
      </c>
      <c r="G858" t="s">
        <v>22</v>
      </c>
      <c r="H858" t="s">
        <v>18</v>
      </c>
      <c r="I858" t="s">
        <v>19</v>
      </c>
      <c r="J858">
        <v>75.16</v>
      </c>
      <c r="K858">
        <v>4049.64</v>
      </c>
      <c r="L858" t="s">
        <v>15</v>
      </c>
      <c r="M858" t="str">
        <f t="shared" si="14"/>
        <v>4 to 5 years</v>
      </c>
    </row>
    <row r="859" spans="1:13">
      <c r="A859" t="s">
        <v>883</v>
      </c>
      <c r="B859" t="s">
        <v>14</v>
      </c>
      <c r="C859" t="s">
        <v>15</v>
      </c>
      <c r="D859" t="s">
        <v>16</v>
      </c>
      <c r="E859" t="s">
        <v>16</v>
      </c>
      <c r="F859">
        <v>43</v>
      </c>
      <c r="G859" t="s">
        <v>25</v>
      </c>
      <c r="H859" t="s">
        <v>34</v>
      </c>
      <c r="I859" t="s">
        <v>36</v>
      </c>
      <c r="J859">
        <v>66.900000000000006</v>
      </c>
      <c r="K859">
        <v>2962</v>
      </c>
      <c r="L859" t="s">
        <v>15</v>
      </c>
      <c r="M859" t="str">
        <f t="shared" si="14"/>
        <v>3 to 4 years</v>
      </c>
    </row>
    <row r="860" spans="1:13">
      <c r="A860" t="s">
        <v>884</v>
      </c>
      <c r="B860" t="s">
        <v>21</v>
      </c>
      <c r="C860" t="s">
        <v>15</v>
      </c>
      <c r="D860" t="s">
        <v>15</v>
      </c>
      <c r="E860" t="s">
        <v>16</v>
      </c>
      <c r="F860">
        <v>25</v>
      </c>
      <c r="G860" t="s">
        <v>17</v>
      </c>
      <c r="H860" t="s">
        <v>34</v>
      </c>
      <c r="I860" t="s">
        <v>19</v>
      </c>
      <c r="J860">
        <v>43.39</v>
      </c>
      <c r="K860">
        <v>1123.54</v>
      </c>
      <c r="L860" t="s">
        <v>15</v>
      </c>
      <c r="M860" t="str">
        <f t="shared" si="14"/>
        <v>2 to 3 years</v>
      </c>
    </row>
    <row r="861" spans="1:13">
      <c r="A861" t="s">
        <v>885</v>
      </c>
      <c r="B861" t="s">
        <v>14</v>
      </c>
      <c r="C861" t="s">
        <v>15</v>
      </c>
      <c r="D861" t="s">
        <v>16</v>
      </c>
      <c r="E861" t="s">
        <v>16</v>
      </c>
      <c r="F861">
        <v>46</v>
      </c>
      <c r="G861" t="s">
        <v>17</v>
      </c>
      <c r="H861" t="s">
        <v>34</v>
      </c>
      <c r="I861" t="s">
        <v>23</v>
      </c>
      <c r="J861">
        <v>25.86</v>
      </c>
      <c r="K861">
        <v>1185.57</v>
      </c>
      <c r="L861" t="s">
        <v>15</v>
      </c>
      <c r="M861" t="str">
        <f t="shared" si="14"/>
        <v>3 to 4 years</v>
      </c>
    </row>
    <row r="862" spans="1:13">
      <c r="A862" t="s">
        <v>886</v>
      </c>
      <c r="B862" t="s">
        <v>21</v>
      </c>
      <c r="C862" t="s">
        <v>15</v>
      </c>
      <c r="D862" t="s">
        <v>15</v>
      </c>
      <c r="E862" t="s">
        <v>15</v>
      </c>
      <c r="F862">
        <v>33</v>
      </c>
      <c r="G862" t="s">
        <v>25</v>
      </c>
      <c r="H862" t="s">
        <v>34</v>
      </c>
      <c r="I862" t="s">
        <v>23</v>
      </c>
      <c r="J862">
        <v>81.59</v>
      </c>
      <c r="K862">
        <v>2673.33</v>
      </c>
      <c r="L862" t="s">
        <v>15</v>
      </c>
      <c r="M862" t="str">
        <f t="shared" si="14"/>
        <v>2 to 3 years</v>
      </c>
    </row>
    <row r="863" spans="1:13">
      <c r="A863" t="s">
        <v>887</v>
      </c>
      <c r="B863" t="s">
        <v>14</v>
      </c>
      <c r="C863" t="s">
        <v>15</v>
      </c>
      <c r="D863" t="s">
        <v>15</v>
      </c>
      <c r="E863" t="s">
        <v>16</v>
      </c>
      <c r="F863">
        <v>49</v>
      </c>
      <c r="G863" t="s">
        <v>17</v>
      </c>
      <c r="H863" t="s">
        <v>18</v>
      </c>
      <c r="I863" t="s">
        <v>19</v>
      </c>
      <c r="J863">
        <v>110.59</v>
      </c>
      <c r="K863">
        <v>5366.84</v>
      </c>
      <c r="L863" t="s">
        <v>15</v>
      </c>
      <c r="M863" t="str">
        <f t="shared" si="14"/>
        <v>4 to 5 years</v>
      </c>
    </row>
    <row r="864" spans="1:13">
      <c r="A864" t="s">
        <v>888</v>
      </c>
      <c r="B864" t="s">
        <v>21</v>
      </c>
      <c r="C864" t="s">
        <v>15</v>
      </c>
      <c r="D864" t="s">
        <v>16</v>
      </c>
      <c r="E864" t="s">
        <v>15</v>
      </c>
      <c r="F864">
        <v>11</v>
      </c>
      <c r="G864" t="s">
        <v>22</v>
      </c>
      <c r="H864" t="s">
        <v>34</v>
      </c>
      <c r="I864" t="s">
        <v>23</v>
      </c>
      <c r="J864">
        <v>61.75</v>
      </c>
      <c r="K864">
        <v>656.61</v>
      </c>
      <c r="L864" t="s">
        <v>16</v>
      </c>
      <c r="M864" t="str">
        <f t="shared" si="14"/>
        <v>Up to 1 year</v>
      </c>
    </row>
    <row r="865" spans="1:13">
      <c r="A865" t="s">
        <v>889</v>
      </c>
      <c r="B865" t="s">
        <v>21</v>
      </c>
      <c r="C865" t="s">
        <v>15</v>
      </c>
      <c r="D865" t="s">
        <v>15</v>
      </c>
      <c r="E865" t="s">
        <v>15</v>
      </c>
      <c r="F865">
        <v>3</v>
      </c>
      <c r="G865" t="s">
        <v>17</v>
      </c>
      <c r="H865" t="s">
        <v>34</v>
      </c>
      <c r="I865" t="s">
        <v>26</v>
      </c>
      <c r="J865">
        <v>109.68</v>
      </c>
      <c r="K865">
        <v>325.25</v>
      </c>
      <c r="L865" t="s">
        <v>16</v>
      </c>
      <c r="M865" t="str">
        <f t="shared" si="14"/>
        <v>Up to 1 year</v>
      </c>
    </row>
    <row r="866" spans="1:13">
      <c r="A866" t="s">
        <v>890</v>
      </c>
      <c r="B866" t="s">
        <v>21</v>
      </c>
      <c r="C866" t="s">
        <v>15</v>
      </c>
      <c r="D866" t="s">
        <v>15</v>
      </c>
      <c r="E866" t="s">
        <v>15</v>
      </c>
      <c r="F866">
        <v>47</v>
      </c>
      <c r="G866" t="s">
        <v>22</v>
      </c>
      <c r="H866" t="s">
        <v>34</v>
      </c>
      <c r="I866" t="s">
        <v>26</v>
      </c>
      <c r="J866">
        <v>65.59</v>
      </c>
      <c r="K866">
        <v>2972.77</v>
      </c>
      <c r="L866" t="s">
        <v>15</v>
      </c>
      <c r="M866" t="str">
        <f t="shared" si="14"/>
        <v>3 to 4 years</v>
      </c>
    </row>
    <row r="867" spans="1:13">
      <c r="A867" t="s">
        <v>891</v>
      </c>
      <c r="B867" t="s">
        <v>14</v>
      </c>
      <c r="C867" t="s">
        <v>16</v>
      </c>
      <c r="D867" t="s">
        <v>15</v>
      </c>
      <c r="E867" t="s">
        <v>15</v>
      </c>
      <c r="F867">
        <v>54</v>
      </c>
      <c r="G867" t="s">
        <v>22</v>
      </c>
      <c r="H867" t="s">
        <v>34</v>
      </c>
      <c r="I867" t="s">
        <v>23</v>
      </c>
      <c r="J867">
        <v>21.16</v>
      </c>
      <c r="K867">
        <v>1077.02</v>
      </c>
      <c r="L867" t="s">
        <v>15</v>
      </c>
      <c r="M867" t="str">
        <f t="shared" si="14"/>
        <v>4 to 5 years</v>
      </c>
    </row>
    <row r="868" spans="1:13">
      <c r="A868" t="s">
        <v>892</v>
      </c>
      <c r="B868" t="s">
        <v>14</v>
      </c>
      <c r="C868" t="s">
        <v>15</v>
      </c>
      <c r="D868" t="s">
        <v>15</v>
      </c>
      <c r="E868" t="s">
        <v>15</v>
      </c>
      <c r="F868">
        <v>0</v>
      </c>
      <c r="G868" t="s">
        <v>22</v>
      </c>
      <c r="H868" t="s">
        <v>34</v>
      </c>
      <c r="I868" t="s">
        <v>36</v>
      </c>
      <c r="J868">
        <v>92.96</v>
      </c>
      <c r="K868">
        <v>46.48</v>
      </c>
      <c r="L868" t="s">
        <v>16</v>
      </c>
      <c r="M868" t="str">
        <f t="shared" si="14"/>
        <v>Just signed</v>
      </c>
    </row>
    <row r="869" spans="1:13">
      <c r="A869" t="s">
        <v>893</v>
      </c>
      <c r="B869" t="s">
        <v>21</v>
      </c>
      <c r="C869" t="s">
        <v>15</v>
      </c>
      <c r="D869" t="s">
        <v>15</v>
      </c>
      <c r="E869" t="s">
        <v>15</v>
      </c>
      <c r="F869">
        <v>65</v>
      </c>
      <c r="G869" t="s">
        <v>17</v>
      </c>
      <c r="H869" t="s">
        <v>34</v>
      </c>
      <c r="I869" t="s">
        <v>19</v>
      </c>
      <c r="J869">
        <v>58.02</v>
      </c>
      <c r="K869">
        <v>3777.53</v>
      </c>
      <c r="L869" t="s">
        <v>15</v>
      </c>
      <c r="M869" t="str">
        <f t="shared" si="14"/>
        <v>5 to 6 years</v>
      </c>
    </row>
    <row r="870" spans="1:13">
      <c r="A870" t="s">
        <v>894</v>
      </c>
      <c r="B870" t="s">
        <v>14</v>
      </c>
      <c r="C870" t="s">
        <v>15</v>
      </c>
      <c r="D870" t="s">
        <v>15</v>
      </c>
      <c r="E870" t="s">
        <v>16</v>
      </c>
      <c r="F870">
        <v>29</v>
      </c>
      <c r="G870" t="s">
        <v>17</v>
      </c>
      <c r="H870" t="s">
        <v>18</v>
      </c>
      <c r="I870" t="s">
        <v>23</v>
      </c>
      <c r="J870">
        <v>105.22</v>
      </c>
      <c r="K870">
        <v>3057.63</v>
      </c>
      <c r="L870" t="s">
        <v>15</v>
      </c>
      <c r="M870" t="str">
        <f t="shared" si="14"/>
        <v>2 to 3 years</v>
      </c>
    </row>
    <row r="871" spans="1:13">
      <c r="A871" t="s">
        <v>895</v>
      </c>
      <c r="B871" t="s">
        <v>21</v>
      </c>
      <c r="C871" t="s">
        <v>15</v>
      </c>
      <c r="D871" t="s">
        <v>15</v>
      </c>
      <c r="E871" t="s">
        <v>15</v>
      </c>
      <c r="F871">
        <v>2</v>
      </c>
      <c r="G871" t="s">
        <v>22</v>
      </c>
      <c r="H871" t="s">
        <v>18</v>
      </c>
      <c r="I871" t="s">
        <v>26</v>
      </c>
      <c r="J871">
        <v>48.06</v>
      </c>
      <c r="K871">
        <v>238.4</v>
      </c>
      <c r="L871" t="s">
        <v>16</v>
      </c>
      <c r="M871" t="str">
        <f t="shared" si="14"/>
        <v>Up to 1 year</v>
      </c>
    </row>
    <row r="872" spans="1:13">
      <c r="A872" t="s">
        <v>896</v>
      </c>
      <c r="B872" t="s">
        <v>14</v>
      </c>
      <c r="C872" t="s">
        <v>15</v>
      </c>
      <c r="D872" t="s">
        <v>15</v>
      </c>
      <c r="E872" t="s">
        <v>15</v>
      </c>
      <c r="F872">
        <v>20</v>
      </c>
      <c r="G872" t="s">
        <v>17</v>
      </c>
      <c r="H872" t="s">
        <v>34</v>
      </c>
      <c r="I872" t="s">
        <v>26</v>
      </c>
      <c r="J872">
        <v>80.3</v>
      </c>
      <c r="K872">
        <v>1636.04</v>
      </c>
      <c r="L872" t="s">
        <v>15</v>
      </c>
      <c r="M872" t="str">
        <f t="shared" si="14"/>
        <v>1 to 2 years</v>
      </c>
    </row>
    <row r="873" spans="1:13">
      <c r="A873" t="s">
        <v>897</v>
      </c>
      <c r="B873" t="s">
        <v>21</v>
      </c>
      <c r="C873" t="s">
        <v>15</v>
      </c>
      <c r="D873" t="s">
        <v>16</v>
      </c>
      <c r="E873" t="s">
        <v>15</v>
      </c>
      <c r="F873">
        <v>48</v>
      </c>
      <c r="G873" t="s">
        <v>25</v>
      </c>
      <c r="H873" t="s">
        <v>18</v>
      </c>
      <c r="I873" t="s">
        <v>26</v>
      </c>
      <c r="J873">
        <v>59.99</v>
      </c>
      <c r="K873">
        <v>2835.04</v>
      </c>
      <c r="L873" t="s">
        <v>15</v>
      </c>
      <c r="M873" t="str">
        <f t="shared" si="14"/>
        <v>3 to 4 years</v>
      </c>
    </row>
    <row r="874" spans="1:13">
      <c r="A874" t="s">
        <v>898</v>
      </c>
      <c r="B874" t="s">
        <v>21</v>
      </c>
      <c r="C874" t="s">
        <v>15</v>
      </c>
      <c r="D874" t="s">
        <v>16</v>
      </c>
      <c r="E874" t="s">
        <v>15</v>
      </c>
      <c r="F874">
        <v>61</v>
      </c>
      <c r="G874" t="s">
        <v>22</v>
      </c>
      <c r="H874" t="s">
        <v>34</v>
      </c>
      <c r="I874" t="s">
        <v>36</v>
      </c>
      <c r="J874">
        <v>75.040000000000006</v>
      </c>
      <c r="K874">
        <v>4561.41</v>
      </c>
      <c r="L874" t="s">
        <v>15</v>
      </c>
      <c r="M874" t="str">
        <f t="shared" si="14"/>
        <v>5 to 6 years</v>
      </c>
    </row>
    <row r="875" spans="1:13">
      <c r="A875" t="s">
        <v>899</v>
      </c>
      <c r="B875" t="s">
        <v>14</v>
      </c>
      <c r="C875" t="s">
        <v>15</v>
      </c>
      <c r="D875" t="s">
        <v>15</v>
      </c>
      <c r="E875" t="s">
        <v>15</v>
      </c>
      <c r="F875">
        <v>37</v>
      </c>
      <c r="G875" t="s">
        <v>22</v>
      </c>
      <c r="H875" t="s">
        <v>34</v>
      </c>
      <c r="I875" t="s">
        <v>26</v>
      </c>
      <c r="J875">
        <v>89.17</v>
      </c>
      <c r="K875">
        <v>3338.24</v>
      </c>
      <c r="L875" t="s">
        <v>15</v>
      </c>
      <c r="M875" t="str">
        <f t="shared" si="14"/>
        <v>3 to 4 years</v>
      </c>
    </row>
    <row r="876" spans="1:13">
      <c r="A876" t="s">
        <v>900</v>
      </c>
      <c r="B876" t="s">
        <v>21</v>
      </c>
      <c r="C876" t="s">
        <v>15</v>
      </c>
      <c r="D876" t="s">
        <v>15</v>
      </c>
      <c r="E876" t="s">
        <v>15</v>
      </c>
      <c r="F876">
        <v>14</v>
      </c>
      <c r="G876" t="s">
        <v>17</v>
      </c>
      <c r="H876" t="s">
        <v>34</v>
      </c>
      <c r="I876" t="s">
        <v>36</v>
      </c>
      <c r="J876">
        <v>83.36</v>
      </c>
      <c r="K876">
        <v>1185.25</v>
      </c>
      <c r="L876" t="s">
        <v>15</v>
      </c>
      <c r="M876" t="str">
        <f t="shared" si="14"/>
        <v>1 to 2 years</v>
      </c>
    </row>
    <row r="877" spans="1:13">
      <c r="A877" t="s">
        <v>901</v>
      </c>
      <c r="B877" t="s">
        <v>14</v>
      </c>
      <c r="C877" t="s">
        <v>15</v>
      </c>
      <c r="D877" t="s">
        <v>16</v>
      </c>
      <c r="E877" t="s">
        <v>15</v>
      </c>
      <c r="F877">
        <v>51</v>
      </c>
      <c r="G877" t="s">
        <v>22</v>
      </c>
      <c r="H877" t="s">
        <v>18</v>
      </c>
      <c r="I877" t="s">
        <v>19</v>
      </c>
      <c r="J877">
        <v>81.73</v>
      </c>
      <c r="K877">
        <v>4214.49</v>
      </c>
      <c r="L877" t="s">
        <v>15</v>
      </c>
      <c r="M877" t="str">
        <f t="shared" si="14"/>
        <v>4 to 5 years</v>
      </c>
    </row>
    <row r="878" spans="1:13">
      <c r="A878" t="s">
        <v>902</v>
      </c>
      <c r="B878" t="s">
        <v>21</v>
      </c>
      <c r="C878" t="s">
        <v>15</v>
      </c>
      <c r="D878" t="s">
        <v>16</v>
      </c>
      <c r="E878" t="s">
        <v>15</v>
      </c>
      <c r="F878">
        <v>45</v>
      </c>
      <c r="G878" t="s">
        <v>17</v>
      </c>
      <c r="H878" t="s">
        <v>18</v>
      </c>
      <c r="I878" t="s">
        <v>26</v>
      </c>
      <c r="J878">
        <v>45.54</v>
      </c>
      <c r="K878">
        <v>2079.46</v>
      </c>
      <c r="L878" t="s">
        <v>15</v>
      </c>
      <c r="M878" t="str">
        <f t="shared" si="14"/>
        <v>3 to 4 years</v>
      </c>
    </row>
    <row r="879" spans="1:13">
      <c r="A879" t="s">
        <v>903</v>
      </c>
      <c r="B879" t="s">
        <v>21</v>
      </c>
      <c r="C879" t="s">
        <v>15</v>
      </c>
      <c r="D879" t="s">
        <v>16</v>
      </c>
      <c r="E879" t="s">
        <v>16</v>
      </c>
      <c r="F879">
        <v>24</v>
      </c>
      <c r="G879" t="s">
        <v>22</v>
      </c>
      <c r="H879" t="s">
        <v>34</v>
      </c>
      <c r="I879" t="s">
        <v>36</v>
      </c>
      <c r="J879">
        <v>88.26</v>
      </c>
      <c r="K879">
        <v>2098.0300000000002</v>
      </c>
      <c r="L879" t="s">
        <v>15</v>
      </c>
      <c r="M879" t="str">
        <f t="shared" si="14"/>
        <v>1 to 2 years</v>
      </c>
    </row>
    <row r="880" spans="1:13">
      <c r="A880" t="s">
        <v>904</v>
      </c>
      <c r="B880" t="s">
        <v>14</v>
      </c>
      <c r="C880" t="s">
        <v>15</v>
      </c>
      <c r="D880" t="s">
        <v>15</v>
      </c>
      <c r="E880" t="s">
        <v>15</v>
      </c>
      <c r="F880">
        <v>20</v>
      </c>
      <c r="G880" t="s">
        <v>22</v>
      </c>
      <c r="H880" t="s">
        <v>34</v>
      </c>
      <c r="I880" t="s">
        <v>26</v>
      </c>
      <c r="J880">
        <v>95.79</v>
      </c>
      <c r="K880">
        <v>1872.94</v>
      </c>
      <c r="L880" t="s">
        <v>16</v>
      </c>
      <c r="M880" t="str">
        <f t="shared" si="14"/>
        <v>1 to 2 years</v>
      </c>
    </row>
    <row r="881" spans="1:13">
      <c r="A881" t="s">
        <v>905</v>
      </c>
      <c r="B881" t="s">
        <v>14</v>
      </c>
      <c r="C881" t="s">
        <v>15</v>
      </c>
      <c r="D881" t="s">
        <v>16</v>
      </c>
      <c r="E881" t="s">
        <v>16</v>
      </c>
      <c r="F881">
        <v>4</v>
      </c>
      <c r="G881" t="s">
        <v>17</v>
      </c>
      <c r="H881" t="s">
        <v>15</v>
      </c>
      <c r="I881" t="s">
        <v>23</v>
      </c>
      <c r="J881">
        <v>28.93</v>
      </c>
      <c r="K881">
        <v>68.56</v>
      </c>
      <c r="L881" t="s">
        <v>15</v>
      </c>
      <c r="M881" t="str">
        <f t="shared" si="14"/>
        <v>Up to 1 year</v>
      </c>
    </row>
    <row r="882" spans="1:13">
      <c r="A882" t="s">
        <v>906</v>
      </c>
      <c r="B882" t="s">
        <v>14</v>
      </c>
      <c r="C882" t="s">
        <v>15</v>
      </c>
      <c r="D882" t="s">
        <v>15</v>
      </c>
      <c r="E882" t="s">
        <v>15</v>
      </c>
      <c r="F882">
        <v>69</v>
      </c>
      <c r="G882" t="s">
        <v>17</v>
      </c>
      <c r="H882" t="s">
        <v>34</v>
      </c>
      <c r="I882" t="s">
        <v>19</v>
      </c>
      <c r="J882">
        <v>47.6</v>
      </c>
      <c r="K882">
        <v>3210.38</v>
      </c>
      <c r="L882" t="s">
        <v>15</v>
      </c>
      <c r="M882" t="str">
        <f t="shared" si="14"/>
        <v>5 to 6 years</v>
      </c>
    </row>
    <row r="883" spans="1:13">
      <c r="A883" t="s">
        <v>907</v>
      </c>
      <c r="B883" t="s">
        <v>21</v>
      </c>
      <c r="C883" t="s">
        <v>15</v>
      </c>
      <c r="D883" t="s">
        <v>15</v>
      </c>
      <c r="E883" t="s">
        <v>15</v>
      </c>
      <c r="F883">
        <v>46</v>
      </c>
      <c r="G883" t="s">
        <v>25</v>
      </c>
      <c r="H883" t="s">
        <v>34</v>
      </c>
      <c r="I883" t="s">
        <v>26</v>
      </c>
      <c r="J883">
        <v>96.84</v>
      </c>
      <c r="K883">
        <v>4368.07</v>
      </c>
      <c r="L883" t="s">
        <v>15</v>
      </c>
      <c r="M883" t="str">
        <f t="shared" si="14"/>
        <v>3 to 4 years</v>
      </c>
    </row>
    <row r="884" spans="1:13">
      <c r="A884" t="s">
        <v>908</v>
      </c>
      <c r="B884" t="s">
        <v>14</v>
      </c>
      <c r="C884" t="s">
        <v>15</v>
      </c>
      <c r="D884" t="s">
        <v>16</v>
      </c>
      <c r="E884" t="s">
        <v>16</v>
      </c>
      <c r="F884">
        <v>67</v>
      </c>
      <c r="G884" t="s">
        <v>25</v>
      </c>
      <c r="H884" t="s">
        <v>15</v>
      </c>
      <c r="I884" t="s">
        <v>23</v>
      </c>
      <c r="J884">
        <v>49.79</v>
      </c>
      <c r="K884">
        <v>3483.01</v>
      </c>
      <c r="L884" t="s">
        <v>15</v>
      </c>
      <c r="M884" t="str">
        <f t="shared" si="14"/>
        <v>5 to 6 years</v>
      </c>
    </row>
    <row r="885" spans="1:13">
      <c r="A885" t="s">
        <v>909</v>
      </c>
      <c r="B885" t="s">
        <v>21</v>
      </c>
      <c r="C885" t="s">
        <v>15</v>
      </c>
      <c r="D885" t="s">
        <v>15</v>
      </c>
      <c r="E885" t="s">
        <v>16</v>
      </c>
      <c r="F885">
        <v>17</v>
      </c>
      <c r="G885" t="s">
        <v>17</v>
      </c>
      <c r="H885" t="s">
        <v>18</v>
      </c>
      <c r="I885" t="s">
        <v>36</v>
      </c>
      <c r="J885">
        <v>58.25</v>
      </c>
      <c r="K885">
        <v>1000.23</v>
      </c>
      <c r="L885" t="s">
        <v>16</v>
      </c>
      <c r="M885" t="str">
        <f t="shared" si="14"/>
        <v>1 to 2 years</v>
      </c>
    </row>
    <row r="886" spans="1:13">
      <c r="A886" t="s">
        <v>910</v>
      </c>
      <c r="B886" t="s">
        <v>21</v>
      </c>
      <c r="C886" t="s">
        <v>15</v>
      </c>
      <c r="D886" t="s">
        <v>15</v>
      </c>
      <c r="E886" t="s">
        <v>16</v>
      </c>
      <c r="F886">
        <v>20</v>
      </c>
      <c r="G886" t="s">
        <v>17</v>
      </c>
      <c r="H886" t="s">
        <v>18</v>
      </c>
      <c r="I886" t="s">
        <v>23</v>
      </c>
      <c r="J886">
        <v>86.81</v>
      </c>
      <c r="K886">
        <v>1723.78</v>
      </c>
      <c r="L886" t="s">
        <v>16</v>
      </c>
      <c r="M886" t="str">
        <f t="shared" si="14"/>
        <v>1 to 2 years</v>
      </c>
    </row>
    <row r="887" spans="1:13">
      <c r="A887" t="s">
        <v>911</v>
      </c>
      <c r="B887" t="s">
        <v>14</v>
      </c>
      <c r="C887" t="s">
        <v>15</v>
      </c>
      <c r="D887" t="s">
        <v>15</v>
      </c>
      <c r="E887" t="s">
        <v>15</v>
      </c>
      <c r="F887">
        <v>22</v>
      </c>
      <c r="G887" t="s">
        <v>22</v>
      </c>
      <c r="H887" t="s">
        <v>18</v>
      </c>
      <c r="I887" t="s">
        <v>23</v>
      </c>
      <c r="J887">
        <v>64.040000000000006</v>
      </c>
      <c r="K887">
        <v>1369.21</v>
      </c>
      <c r="L887" t="s">
        <v>16</v>
      </c>
      <c r="M887" t="str">
        <f t="shared" si="14"/>
        <v>1 to 2 years</v>
      </c>
    </row>
    <row r="888" spans="1:13">
      <c r="A888" t="s">
        <v>912</v>
      </c>
      <c r="B888" t="s">
        <v>14</v>
      </c>
      <c r="C888" t="s">
        <v>15</v>
      </c>
      <c r="D888" t="s">
        <v>15</v>
      </c>
      <c r="E888" t="s">
        <v>15</v>
      </c>
      <c r="F888">
        <v>63</v>
      </c>
      <c r="G888" t="s">
        <v>22</v>
      </c>
      <c r="H888" t="s">
        <v>34</v>
      </c>
      <c r="I888" t="s">
        <v>36</v>
      </c>
      <c r="J888">
        <v>74.03</v>
      </c>
      <c r="K888">
        <v>4698.2</v>
      </c>
      <c r="L888" t="s">
        <v>15</v>
      </c>
      <c r="M888" t="str">
        <f t="shared" si="14"/>
        <v>5 to 6 years</v>
      </c>
    </row>
    <row r="889" spans="1:13">
      <c r="A889" t="s">
        <v>913</v>
      </c>
      <c r="B889" t="s">
        <v>21</v>
      </c>
      <c r="C889" t="s">
        <v>16</v>
      </c>
      <c r="D889" t="s">
        <v>16</v>
      </c>
      <c r="E889" t="s">
        <v>15</v>
      </c>
      <c r="F889">
        <v>66</v>
      </c>
      <c r="G889" t="s">
        <v>22</v>
      </c>
      <c r="H889" t="s">
        <v>34</v>
      </c>
      <c r="I889" t="s">
        <v>19</v>
      </c>
      <c r="J889">
        <v>59.67</v>
      </c>
      <c r="K889">
        <v>4034.51</v>
      </c>
      <c r="L889" t="s">
        <v>15</v>
      </c>
      <c r="M889" t="str">
        <f t="shared" si="14"/>
        <v>5 to 6 years</v>
      </c>
    </row>
    <row r="890" spans="1:13">
      <c r="A890" t="s">
        <v>914</v>
      </c>
      <c r="B890" t="s">
        <v>21</v>
      </c>
      <c r="C890" t="s">
        <v>15</v>
      </c>
      <c r="D890" t="s">
        <v>16</v>
      </c>
      <c r="E890" t="s">
        <v>15</v>
      </c>
      <c r="F890">
        <v>39</v>
      </c>
      <c r="G890" t="s">
        <v>25</v>
      </c>
      <c r="H890" t="s">
        <v>18</v>
      </c>
      <c r="I890" t="s">
        <v>23</v>
      </c>
      <c r="J890">
        <v>71.81</v>
      </c>
      <c r="K890">
        <v>2858.45</v>
      </c>
      <c r="L890" t="s">
        <v>16</v>
      </c>
      <c r="M890" t="str">
        <f t="shared" si="14"/>
        <v>3 to 4 years</v>
      </c>
    </row>
    <row r="891" spans="1:13">
      <c r="A891" t="s">
        <v>915</v>
      </c>
      <c r="B891" t="s">
        <v>14</v>
      </c>
      <c r="C891" t="s">
        <v>15</v>
      </c>
      <c r="D891" t="s">
        <v>15</v>
      </c>
      <c r="E891" t="s">
        <v>15</v>
      </c>
      <c r="F891">
        <v>9</v>
      </c>
      <c r="G891" t="s">
        <v>22</v>
      </c>
      <c r="H891" t="s">
        <v>34</v>
      </c>
      <c r="I891" t="s">
        <v>26</v>
      </c>
      <c r="J891">
        <v>97.76</v>
      </c>
      <c r="K891">
        <v>953.57</v>
      </c>
      <c r="L891" t="s">
        <v>15</v>
      </c>
      <c r="M891" t="str">
        <f t="shared" si="14"/>
        <v>Up to 1 year</v>
      </c>
    </row>
    <row r="892" spans="1:13">
      <c r="A892" t="s">
        <v>916</v>
      </c>
      <c r="B892" t="s">
        <v>14</v>
      </c>
      <c r="C892" t="s">
        <v>15</v>
      </c>
      <c r="D892" t="s">
        <v>15</v>
      </c>
      <c r="E892" t="s">
        <v>15</v>
      </c>
      <c r="F892">
        <v>51</v>
      </c>
      <c r="G892" t="s">
        <v>17</v>
      </c>
      <c r="H892" t="s">
        <v>18</v>
      </c>
      <c r="I892" t="s">
        <v>26</v>
      </c>
      <c r="J892">
        <v>20</v>
      </c>
      <c r="K892">
        <v>973.08</v>
      </c>
      <c r="L892" t="s">
        <v>15</v>
      </c>
      <c r="M892" t="str">
        <f t="shared" si="14"/>
        <v>4 to 5 years</v>
      </c>
    </row>
    <row r="893" spans="1:13">
      <c r="A893" t="s">
        <v>917</v>
      </c>
      <c r="B893" t="s">
        <v>14</v>
      </c>
      <c r="C893" t="s">
        <v>16</v>
      </c>
      <c r="D893" t="s">
        <v>16</v>
      </c>
      <c r="E893" t="s">
        <v>15</v>
      </c>
      <c r="F893">
        <v>71</v>
      </c>
      <c r="G893" t="s">
        <v>22</v>
      </c>
      <c r="H893" t="s">
        <v>15</v>
      </c>
      <c r="I893" t="s">
        <v>23</v>
      </c>
      <c r="J893">
        <v>68.87</v>
      </c>
      <c r="K893">
        <v>4889.4399999999996</v>
      </c>
      <c r="L893" t="s">
        <v>15</v>
      </c>
      <c r="M893" t="str">
        <f t="shared" si="14"/>
        <v>5 to 6 years</v>
      </c>
    </row>
    <row r="894" spans="1:13">
      <c r="A894" t="s">
        <v>918</v>
      </c>
      <c r="B894" t="s">
        <v>14</v>
      </c>
      <c r="C894" t="s">
        <v>15</v>
      </c>
      <c r="D894" t="s">
        <v>15</v>
      </c>
      <c r="E894" t="s">
        <v>15</v>
      </c>
      <c r="F894">
        <v>60</v>
      </c>
      <c r="G894" t="s">
        <v>17</v>
      </c>
      <c r="H894" t="s">
        <v>15</v>
      </c>
      <c r="I894" t="s">
        <v>36</v>
      </c>
      <c r="J894">
        <v>78.64</v>
      </c>
      <c r="K894">
        <v>4672.53</v>
      </c>
      <c r="L894" t="s">
        <v>15</v>
      </c>
      <c r="M894" t="str">
        <f t="shared" si="14"/>
        <v>4 to 5 years</v>
      </c>
    </row>
    <row r="895" spans="1:13">
      <c r="A895" t="s">
        <v>919</v>
      </c>
      <c r="B895" t="s">
        <v>14</v>
      </c>
      <c r="C895" t="s">
        <v>15</v>
      </c>
      <c r="D895" t="s">
        <v>16</v>
      </c>
      <c r="E895" t="s">
        <v>15</v>
      </c>
      <c r="F895">
        <v>63</v>
      </c>
      <c r="G895" t="s">
        <v>25</v>
      </c>
      <c r="H895" t="s">
        <v>34</v>
      </c>
      <c r="I895" t="s">
        <v>19</v>
      </c>
      <c r="J895">
        <v>54.45</v>
      </c>
      <c r="K895">
        <v>3438.91</v>
      </c>
      <c r="L895" t="s">
        <v>15</v>
      </c>
      <c r="M895" t="str">
        <f t="shared" si="14"/>
        <v>5 to 6 years</v>
      </c>
    </row>
    <row r="896" spans="1:13">
      <c r="A896" t="s">
        <v>920</v>
      </c>
      <c r="B896" t="s">
        <v>21</v>
      </c>
      <c r="C896" t="s">
        <v>15</v>
      </c>
      <c r="D896" t="s">
        <v>15</v>
      </c>
      <c r="E896" t="s">
        <v>16</v>
      </c>
      <c r="F896">
        <v>4</v>
      </c>
      <c r="G896" t="s">
        <v>22</v>
      </c>
      <c r="H896" t="s">
        <v>18</v>
      </c>
      <c r="I896" t="s">
        <v>19</v>
      </c>
      <c r="J896">
        <v>103.44</v>
      </c>
      <c r="K896">
        <v>515.57000000000005</v>
      </c>
      <c r="L896" t="s">
        <v>15</v>
      </c>
      <c r="M896" t="str">
        <f t="shared" si="14"/>
        <v>Up to 1 year</v>
      </c>
    </row>
    <row r="897" spans="1:13">
      <c r="A897" t="s">
        <v>921</v>
      </c>
      <c r="B897" t="s">
        <v>21</v>
      </c>
      <c r="C897" t="s">
        <v>15</v>
      </c>
      <c r="D897" t="s">
        <v>15</v>
      </c>
      <c r="E897" t="s">
        <v>15</v>
      </c>
      <c r="F897">
        <v>52</v>
      </c>
      <c r="G897" t="s">
        <v>25</v>
      </c>
      <c r="H897" t="s">
        <v>18</v>
      </c>
      <c r="I897" t="s">
        <v>19</v>
      </c>
      <c r="J897">
        <v>56.02</v>
      </c>
      <c r="K897">
        <v>2948.19</v>
      </c>
      <c r="L897" t="s">
        <v>15</v>
      </c>
      <c r="M897" t="str">
        <f t="shared" si="14"/>
        <v>4 to 5 years</v>
      </c>
    </row>
    <row r="898" spans="1:13">
      <c r="A898" t="s">
        <v>922</v>
      </c>
      <c r="B898" t="s">
        <v>21</v>
      </c>
      <c r="C898" t="s">
        <v>15</v>
      </c>
      <c r="D898" t="s">
        <v>16</v>
      </c>
      <c r="E898" t="s">
        <v>15</v>
      </c>
      <c r="F898">
        <v>54</v>
      </c>
      <c r="G898" t="s">
        <v>22</v>
      </c>
      <c r="H898" t="s">
        <v>15</v>
      </c>
      <c r="I898" t="s">
        <v>26</v>
      </c>
      <c r="J898">
        <v>38.5</v>
      </c>
      <c r="K898">
        <v>2209.14</v>
      </c>
      <c r="L898" t="s">
        <v>15</v>
      </c>
      <c r="M898" t="str">
        <f t="shared" si="14"/>
        <v>4 to 5 years</v>
      </c>
    </row>
    <row r="899" spans="1:13">
      <c r="A899" t="s">
        <v>923</v>
      </c>
      <c r="B899" t="s">
        <v>21</v>
      </c>
      <c r="C899" t="s">
        <v>15</v>
      </c>
      <c r="D899" t="s">
        <v>16</v>
      </c>
      <c r="E899" t="s">
        <v>16</v>
      </c>
      <c r="F899">
        <v>36</v>
      </c>
      <c r="G899" t="s">
        <v>22</v>
      </c>
      <c r="H899" t="s">
        <v>34</v>
      </c>
      <c r="I899" t="s">
        <v>23</v>
      </c>
      <c r="J899">
        <v>50.62</v>
      </c>
      <c r="K899">
        <v>1799.24</v>
      </c>
      <c r="L899" t="s">
        <v>15</v>
      </c>
      <c r="M899" t="str">
        <f t="shared" ref="M899:M962" si="15">IF(F899=0,"Just signed",IF(F899&lt;=12,"Up to 1 year",IF(F899&lt;=24,"1 to 2 years",IF(F899&lt;=36,"2 to 3 years",IF(F899&lt;=48,"3 to 4 years",IF(F899&lt;=60,"4 to 5 years","5 to 6 years"))))))</f>
        <v>2 to 3 years</v>
      </c>
    </row>
    <row r="900" spans="1:13">
      <c r="A900" t="s">
        <v>924</v>
      </c>
      <c r="B900" t="s">
        <v>14</v>
      </c>
      <c r="C900" t="s">
        <v>15</v>
      </c>
      <c r="D900" t="s">
        <v>16</v>
      </c>
      <c r="E900" t="s">
        <v>15</v>
      </c>
      <c r="F900">
        <v>55</v>
      </c>
      <c r="G900" t="s">
        <v>25</v>
      </c>
      <c r="H900" t="s">
        <v>34</v>
      </c>
      <c r="I900" t="s">
        <v>23</v>
      </c>
      <c r="J900">
        <v>93.78</v>
      </c>
      <c r="K900">
        <v>5093.34</v>
      </c>
      <c r="L900" t="s">
        <v>15</v>
      </c>
      <c r="M900" t="str">
        <f t="shared" si="15"/>
        <v>4 to 5 years</v>
      </c>
    </row>
    <row r="901" spans="1:13">
      <c r="A901" t="s">
        <v>925</v>
      </c>
      <c r="B901" t="s">
        <v>14</v>
      </c>
      <c r="C901" t="s">
        <v>15</v>
      </c>
      <c r="D901" t="s">
        <v>16</v>
      </c>
      <c r="E901" t="s">
        <v>16</v>
      </c>
      <c r="F901">
        <v>58</v>
      </c>
      <c r="G901" t="s">
        <v>22</v>
      </c>
      <c r="H901" t="s">
        <v>34</v>
      </c>
      <c r="I901" t="s">
        <v>19</v>
      </c>
      <c r="J901">
        <v>26.38</v>
      </c>
      <c r="K901">
        <v>1571.01</v>
      </c>
      <c r="L901" t="s">
        <v>15</v>
      </c>
      <c r="M901" t="str">
        <f t="shared" si="15"/>
        <v>4 to 5 years</v>
      </c>
    </row>
    <row r="902" spans="1:13">
      <c r="A902" t="s">
        <v>926</v>
      </c>
      <c r="B902" t="s">
        <v>14</v>
      </c>
      <c r="C902" t="s">
        <v>15</v>
      </c>
      <c r="D902" t="s">
        <v>15</v>
      </c>
      <c r="E902" t="s">
        <v>16</v>
      </c>
      <c r="F902">
        <v>68</v>
      </c>
      <c r="G902" t="s">
        <v>25</v>
      </c>
      <c r="H902" t="s">
        <v>34</v>
      </c>
      <c r="I902" t="s">
        <v>36</v>
      </c>
      <c r="J902">
        <v>111</v>
      </c>
      <c r="K902">
        <v>7557.51</v>
      </c>
      <c r="L902" t="s">
        <v>15</v>
      </c>
      <c r="M902" t="str">
        <f t="shared" si="15"/>
        <v>5 to 6 years</v>
      </c>
    </row>
    <row r="903" spans="1:13">
      <c r="A903" t="s">
        <v>927</v>
      </c>
      <c r="B903" t="s">
        <v>21</v>
      </c>
      <c r="C903" t="s">
        <v>15</v>
      </c>
      <c r="D903" t="s">
        <v>16</v>
      </c>
      <c r="E903" t="s">
        <v>15</v>
      </c>
      <c r="F903">
        <v>72</v>
      </c>
      <c r="G903" t="s">
        <v>22</v>
      </c>
      <c r="H903" t="s">
        <v>34</v>
      </c>
      <c r="I903" t="s">
        <v>23</v>
      </c>
      <c r="J903">
        <v>62.38</v>
      </c>
      <c r="K903">
        <v>4517.18</v>
      </c>
      <c r="L903" t="s">
        <v>15</v>
      </c>
      <c r="M903" t="str">
        <f t="shared" si="15"/>
        <v>5 to 6 years</v>
      </c>
    </row>
    <row r="904" spans="1:13">
      <c r="A904" t="s">
        <v>928</v>
      </c>
      <c r="B904" t="s">
        <v>21</v>
      </c>
      <c r="C904" t="s">
        <v>16</v>
      </c>
      <c r="D904" t="s">
        <v>15</v>
      </c>
      <c r="E904" t="s">
        <v>16</v>
      </c>
      <c r="F904">
        <v>58</v>
      </c>
      <c r="G904" t="s">
        <v>22</v>
      </c>
      <c r="H904" t="s">
        <v>18</v>
      </c>
      <c r="I904" t="s">
        <v>26</v>
      </c>
      <c r="J904">
        <v>95.37</v>
      </c>
      <c r="K904">
        <v>5545.32</v>
      </c>
      <c r="L904" t="s">
        <v>15</v>
      </c>
      <c r="M904" t="str">
        <f t="shared" si="15"/>
        <v>4 to 5 years</v>
      </c>
    </row>
    <row r="905" spans="1:13">
      <c r="A905" t="s">
        <v>929</v>
      </c>
      <c r="B905" t="s">
        <v>14</v>
      </c>
      <c r="C905" t="s">
        <v>15</v>
      </c>
      <c r="D905" t="s">
        <v>16</v>
      </c>
      <c r="E905" t="s">
        <v>15</v>
      </c>
      <c r="F905">
        <v>1</v>
      </c>
      <c r="G905" t="s">
        <v>25</v>
      </c>
      <c r="H905" t="s">
        <v>18</v>
      </c>
      <c r="I905" t="s">
        <v>36</v>
      </c>
      <c r="J905">
        <v>93.22</v>
      </c>
      <c r="K905">
        <v>54.47</v>
      </c>
      <c r="L905" t="s">
        <v>15</v>
      </c>
      <c r="M905" t="str">
        <f t="shared" si="15"/>
        <v>Up to 1 year</v>
      </c>
    </row>
    <row r="906" spans="1:13">
      <c r="A906" t="s">
        <v>930</v>
      </c>
      <c r="B906" t="s">
        <v>14</v>
      </c>
      <c r="C906" t="s">
        <v>15</v>
      </c>
      <c r="D906" t="s">
        <v>16</v>
      </c>
      <c r="E906" t="s">
        <v>15</v>
      </c>
      <c r="F906">
        <v>64</v>
      </c>
      <c r="G906" t="s">
        <v>22</v>
      </c>
      <c r="H906" t="s">
        <v>34</v>
      </c>
      <c r="I906" t="s">
        <v>23</v>
      </c>
      <c r="J906">
        <v>73.78</v>
      </c>
      <c r="K906">
        <v>4737.58</v>
      </c>
      <c r="L906" t="s">
        <v>15</v>
      </c>
      <c r="M906" t="str">
        <f t="shared" si="15"/>
        <v>5 to 6 years</v>
      </c>
    </row>
    <row r="907" spans="1:13">
      <c r="A907" t="s">
        <v>931</v>
      </c>
      <c r="B907" t="s">
        <v>21</v>
      </c>
      <c r="C907" t="s">
        <v>15</v>
      </c>
      <c r="D907" t="s">
        <v>15</v>
      </c>
      <c r="E907" t="s">
        <v>16</v>
      </c>
      <c r="F907">
        <v>59</v>
      </c>
      <c r="G907" t="s">
        <v>25</v>
      </c>
      <c r="H907" t="s">
        <v>18</v>
      </c>
      <c r="I907" t="s">
        <v>23</v>
      </c>
      <c r="J907">
        <v>64.98</v>
      </c>
      <c r="K907">
        <v>3911.69</v>
      </c>
      <c r="L907" t="s">
        <v>15</v>
      </c>
      <c r="M907" t="str">
        <f t="shared" si="15"/>
        <v>4 to 5 years</v>
      </c>
    </row>
    <row r="908" spans="1:13">
      <c r="A908" t="s">
        <v>932</v>
      </c>
      <c r="B908" t="s">
        <v>21</v>
      </c>
      <c r="C908" t="s">
        <v>15</v>
      </c>
      <c r="D908" t="s">
        <v>16</v>
      </c>
      <c r="E908" t="s">
        <v>15</v>
      </c>
      <c r="F908">
        <v>50</v>
      </c>
      <c r="G908" t="s">
        <v>25</v>
      </c>
      <c r="H908" t="s">
        <v>34</v>
      </c>
      <c r="I908" t="s">
        <v>23</v>
      </c>
      <c r="J908">
        <v>101.06</v>
      </c>
      <c r="K908">
        <v>5139.09</v>
      </c>
      <c r="L908" t="s">
        <v>15</v>
      </c>
      <c r="M908" t="str">
        <f t="shared" si="15"/>
        <v>4 to 5 years</v>
      </c>
    </row>
    <row r="909" spans="1:13">
      <c r="A909" t="s">
        <v>933</v>
      </c>
      <c r="B909" t="s">
        <v>14</v>
      </c>
      <c r="C909" t="s">
        <v>15</v>
      </c>
      <c r="D909" t="s">
        <v>16</v>
      </c>
      <c r="E909" t="s">
        <v>16</v>
      </c>
      <c r="F909">
        <v>29</v>
      </c>
      <c r="G909" t="s">
        <v>22</v>
      </c>
      <c r="H909" t="s">
        <v>15</v>
      </c>
      <c r="I909" t="s">
        <v>26</v>
      </c>
      <c r="J909">
        <v>42.13</v>
      </c>
      <c r="K909">
        <v>1182.6099999999999</v>
      </c>
      <c r="L909" t="s">
        <v>15</v>
      </c>
      <c r="M909" t="str">
        <f t="shared" si="15"/>
        <v>2 to 3 years</v>
      </c>
    </row>
    <row r="910" spans="1:13">
      <c r="A910" t="s">
        <v>934</v>
      </c>
      <c r="B910" t="s">
        <v>14</v>
      </c>
      <c r="C910" t="s">
        <v>15</v>
      </c>
      <c r="D910" t="s">
        <v>16</v>
      </c>
      <c r="E910" t="s">
        <v>15</v>
      </c>
      <c r="F910">
        <v>10</v>
      </c>
      <c r="G910" t="s">
        <v>22</v>
      </c>
      <c r="H910" t="s">
        <v>15</v>
      </c>
      <c r="I910" t="s">
        <v>23</v>
      </c>
      <c r="J910">
        <v>36.72</v>
      </c>
      <c r="K910">
        <v>385.68</v>
      </c>
      <c r="L910" t="s">
        <v>15</v>
      </c>
      <c r="M910" t="str">
        <f t="shared" si="15"/>
        <v>Up to 1 year</v>
      </c>
    </row>
    <row r="911" spans="1:13">
      <c r="A911" t="s">
        <v>935</v>
      </c>
      <c r="B911" t="s">
        <v>21</v>
      </c>
      <c r="C911" t="s">
        <v>15</v>
      </c>
      <c r="D911" t="s">
        <v>16</v>
      </c>
      <c r="E911" t="s">
        <v>15</v>
      </c>
      <c r="F911">
        <v>38</v>
      </c>
      <c r="G911" t="s">
        <v>22</v>
      </c>
      <c r="H911" t="s">
        <v>15</v>
      </c>
      <c r="I911" t="s">
        <v>19</v>
      </c>
      <c r="J911">
        <v>76.94</v>
      </c>
      <c r="K911">
        <v>3041.89</v>
      </c>
      <c r="L911" t="s">
        <v>15</v>
      </c>
      <c r="M911" t="str">
        <f t="shared" si="15"/>
        <v>3 to 4 years</v>
      </c>
    </row>
    <row r="912" spans="1:13">
      <c r="A912" t="s">
        <v>936</v>
      </c>
      <c r="B912" t="s">
        <v>14</v>
      </c>
      <c r="C912" t="s">
        <v>15</v>
      </c>
      <c r="D912" t="s">
        <v>15</v>
      </c>
      <c r="E912" t="s">
        <v>16</v>
      </c>
      <c r="F912">
        <v>71</v>
      </c>
      <c r="G912" t="s">
        <v>22</v>
      </c>
      <c r="H912" t="s">
        <v>15</v>
      </c>
      <c r="I912" t="s">
        <v>19</v>
      </c>
      <c r="J912">
        <v>58.64</v>
      </c>
      <c r="K912">
        <v>4126.01</v>
      </c>
      <c r="L912" t="s">
        <v>15</v>
      </c>
      <c r="M912" t="str">
        <f t="shared" si="15"/>
        <v>5 to 6 years</v>
      </c>
    </row>
    <row r="913" spans="1:13">
      <c r="A913" t="s">
        <v>937</v>
      </c>
      <c r="B913" t="s">
        <v>14</v>
      </c>
      <c r="C913" t="s">
        <v>16</v>
      </c>
      <c r="D913" t="s">
        <v>15</v>
      </c>
      <c r="E913" t="s">
        <v>16</v>
      </c>
      <c r="F913">
        <v>62</v>
      </c>
      <c r="G913" t="s">
        <v>22</v>
      </c>
      <c r="H913" t="s">
        <v>34</v>
      </c>
      <c r="I913" t="s">
        <v>26</v>
      </c>
      <c r="J913">
        <v>103.95</v>
      </c>
      <c r="K913">
        <v>6392.94</v>
      </c>
      <c r="L913" t="s">
        <v>15</v>
      </c>
      <c r="M913" t="str">
        <f t="shared" si="15"/>
        <v>5 to 6 years</v>
      </c>
    </row>
    <row r="914" spans="1:13">
      <c r="A914" t="s">
        <v>938</v>
      </c>
      <c r="B914" t="s">
        <v>14</v>
      </c>
      <c r="C914" t="s">
        <v>15</v>
      </c>
      <c r="D914" t="s">
        <v>16</v>
      </c>
      <c r="E914" t="s">
        <v>15</v>
      </c>
      <c r="F914">
        <v>63</v>
      </c>
      <c r="G914" t="s">
        <v>22</v>
      </c>
      <c r="H914" t="s">
        <v>34</v>
      </c>
      <c r="I914" t="s">
        <v>23</v>
      </c>
      <c r="J914">
        <v>68.430000000000007</v>
      </c>
      <c r="K914">
        <v>4374.6400000000003</v>
      </c>
      <c r="L914" t="s">
        <v>15</v>
      </c>
      <c r="M914" t="str">
        <f t="shared" si="15"/>
        <v>5 to 6 years</v>
      </c>
    </row>
    <row r="915" spans="1:13">
      <c r="A915" t="s">
        <v>939</v>
      </c>
      <c r="B915" t="s">
        <v>21</v>
      </c>
      <c r="C915" t="s">
        <v>16</v>
      </c>
      <c r="D915" t="s">
        <v>16</v>
      </c>
      <c r="E915" t="s">
        <v>15</v>
      </c>
      <c r="F915">
        <v>60</v>
      </c>
      <c r="G915" t="s">
        <v>22</v>
      </c>
      <c r="H915" t="s">
        <v>18</v>
      </c>
      <c r="I915" t="s">
        <v>19</v>
      </c>
      <c r="J915">
        <v>63.73</v>
      </c>
      <c r="K915">
        <v>3873.32</v>
      </c>
      <c r="L915" t="s">
        <v>15</v>
      </c>
      <c r="M915" t="str">
        <f t="shared" si="15"/>
        <v>4 to 5 years</v>
      </c>
    </row>
    <row r="916" spans="1:13">
      <c r="A916" t="s">
        <v>940</v>
      </c>
      <c r="B916" t="s">
        <v>21</v>
      </c>
      <c r="C916" t="s">
        <v>15</v>
      </c>
      <c r="D916" t="s">
        <v>16</v>
      </c>
      <c r="E916" t="s">
        <v>16</v>
      </c>
      <c r="F916">
        <v>53</v>
      </c>
      <c r="G916" t="s">
        <v>22</v>
      </c>
      <c r="H916" t="s">
        <v>15</v>
      </c>
      <c r="I916" t="s">
        <v>26</v>
      </c>
      <c r="J916">
        <v>61.87</v>
      </c>
      <c r="K916">
        <v>3212.15</v>
      </c>
      <c r="L916" t="s">
        <v>15</v>
      </c>
      <c r="M916" t="str">
        <f t="shared" si="15"/>
        <v>4 to 5 years</v>
      </c>
    </row>
    <row r="917" spans="1:13">
      <c r="A917" t="s">
        <v>941</v>
      </c>
      <c r="B917" t="s">
        <v>21</v>
      </c>
      <c r="C917" t="s">
        <v>15</v>
      </c>
      <c r="D917" t="s">
        <v>15</v>
      </c>
      <c r="E917" t="s">
        <v>15</v>
      </c>
      <c r="F917">
        <v>72</v>
      </c>
      <c r="G917" t="s">
        <v>25</v>
      </c>
      <c r="H917" t="s">
        <v>34</v>
      </c>
      <c r="I917" t="s">
        <v>36</v>
      </c>
      <c r="J917">
        <v>58.81</v>
      </c>
      <c r="K917">
        <v>4122.3599999999997</v>
      </c>
      <c r="L917" t="s">
        <v>15</v>
      </c>
      <c r="M917" t="str">
        <f t="shared" si="15"/>
        <v>5 to 6 years</v>
      </c>
    </row>
    <row r="918" spans="1:13">
      <c r="A918" t="s">
        <v>942</v>
      </c>
      <c r="B918" t="s">
        <v>21</v>
      </c>
      <c r="C918" t="s">
        <v>16</v>
      </c>
      <c r="D918" t="s">
        <v>15</v>
      </c>
      <c r="E918" t="s">
        <v>15</v>
      </c>
      <c r="F918">
        <v>57</v>
      </c>
      <c r="G918" t="s">
        <v>25</v>
      </c>
      <c r="H918" t="s">
        <v>34</v>
      </c>
      <c r="I918" t="s">
        <v>36</v>
      </c>
      <c r="J918">
        <v>54.45</v>
      </c>
      <c r="K918">
        <v>3120.57</v>
      </c>
      <c r="L918" t="s">
        <v>15</v>
      </c>
      <c r="M918" t="str">
        <f t="shared" si="15"/>
        <v>4 to 5 years</v>
      </c>
    </row>
    <row r="919" spans="1:13">
      <c r="A919" t="s">
        <v>943</v>
      </c>
      <c r="B919" t="s">
        <v>21</v>
      </c>
      <c r="C919" t="s">
        <v>16</v>
      </c>
      <c r="D919" t="s">
        <v>15</v>
      </c>
      <c r="E919" t="s">
        <v>15</v>
      </c>
      <c r="F919">
        <v>55</v>
      </c>
      <c r="G919" t="s">
        <v>17</v>
      </c>
      <c r="H919" t="s">
        <v>18</v>
      </c>
      <c r="I919" t="s">
        <v>19</v>
      </c>
      <c r="J919">
        <v>100.8</v>
      </c>
      <c r="K919">
        <v>5510.51</v>
      </c>
      <c r="L919" t="s">
        <v>15</v>
      </c>
      <c r="M919" t="str">
        <f t="shared" si="15"/>
        <v>4 to 5 years</v>
      </c>
    </row>
    <row r="920" spans="1:13">
      <c r="A920" t="s">
        <v>944</v>
      </c>
      <c r="B920" t="s">
        <v>21</v>
      </c>
      <c r="C920" t="s">
        <v>15</v>
      </c>
      <c r="D920" t="s">
        <v>15</v>
      </c>
      <c r="E920" t="s">
        <v>15</v>
      </c>
      <c r="F920">
        <v>33</v>
      </c>
      <c r="G920" t="s">
        <v>22</v>
      </c>
      <c r="H920" t="s">
        <v>34</v>
      </c>
      <c r="I920" t="s">
        <v>19</v>
      </c>
      <c r="J920">
        <v>115.79</v>
      </c>
      <c r="K920">
        <v>3686.34</v>
      </c>
      <c r="L920" t="s">
        <v>15</v>
      </c>
      <c r="M920" t="str">
        <f t="shared" si="15"/>
        <v>2 to 3 years</v>
      </c>
    </row>
    <row r="921" spans="1:13">
      <c r="A921" t="s">
        <v>945</v>
      </c>
      <c r="B921" t="s">
        <v>21</v>
      </c>
      <c r="C921" t="s">
        <v>15</v>
      </c>
      <c r="D921" t="s">
        <v>16</v>
      </c>
      <c r="E921" t="s">
        <v>15</v>
      </c>
      <c r="F921">
        <v>30</v>
      </c>
      <c r="G921" t="s">
        <v>25</v>
      </c>
      <c r="H921" t="s">
        <v>18</v>
      </c>
      <c r="I921" t="s">
        <v>23</v>
      </c>
      <c r="J921">
        <v>73.84</v>
      </c>
      <c r="K921">
        <v>2160.2199999999998</v>
      </c>
      <c r="L921" t="s">
        <v>15</v>
      </c>
      <c r="M921" t="str">
        <f t="shared" si="15"/>
        <v>2 to 3 years</v>
      </c>
    </row>
    <row r="922" spans="1:13">
      <c r="A922" t="s">
        <v>946</v>
      </c>
      <c r="B922" t="s">
        <v>14</v>
      </c>
      <c r="C922" t="s">
        <v>15</v>
      </c>
      <c r="D922" t="s">
        <v>16</v>
      </c>
      <c r="E922" t="s">
        <v>15</v>
      </c>
      <c r="F922">
        <v>51</v>
      </c>
      <c r="G922" t="s">
        <v>22</v>
      </c>
      <c r="H922" t="s">
        <v>18</v>
      </c>
      <c r="I922" t="s">
        <v>23</v>
      </c>
      <c r="J922">
        <v>55.63</v>
      </c>
      <c r="K922">
        <v>2885.34</v>
      </c>
      <c r="L922" t="s">
        <v>15</v>
      </c>
      <c r="M922" t="str">
        <f t="shared" si="15"/>
        <v>4 to 5 years</v>
      </c>
    </row>
    <row r="923" spans="1:13">
      <c r="A923" t="s">
        <v>947</v>
      </c>
      <c r="B923" t="s">
        <v>14</v>
      </c>
      <c r="C923" t="s">
        <v>15</v>
      </c>
      <c r="D923" t="s">
        <v>16</v>
      </c>
      <c r="E923" t="s">
        <v>15</v>
      </c>
      <c r="F923">
        <v>0</v>
      </c>
      <c r="G923" t="s">
        <v>17</v>
      </c>
      <c r="H923" t="s">
        <v>34</v>
      </c>
      <c r="I923" t="s">
        <v>23</v>
      </c>
      <c r="J923">
        <v>66.16</v>
      </c>
      <c r="K923">
        <v>33.08</v>
      </c>
      <c r="L923" t="s">
        <v>15</v>
      </c>
      <c r="M923" t="str">
        <f t="shared" si="15"/>
        <v>Just signed</v>
      </c>
    </row>
    <row r="924" spans="1:13">
      <c r="A924" t="s">
        <v>948</v>
      </c>
      <c r="B924" t="s">
        <v>14</v>
      </c>
      <c r="C924" t="s">
        <v>16</v>
      </c>
      <c r="D924" t="s">
        <v>15</v>
      </c>
      <c r="E924" t="s">
        <v>15</v>
      </c>
      <c r="F924">
        <v>54</v>
      </c>
      <c r="G924" t="s">
        <v>25</v>
      </c>
      <c r="H924" t="s">
        <v>34</v>
      </c>
      <c r="I924" t="s">
        <v>26</v>
      </c>
      <c r="J924">
        <v>82.87</v>
      </c>
      <c r="K924">
        <v>4600.2700000000004</v>
      </c>
      <c r="L924" t="s">
        <v>15</v>
      </c>
      <c r="M924" t="str">
        <f t="shared" si="15"/>
        <v>4 to 5 years</v>
      </c>
    </row>
    <row r="925" spans="1:13">
      <c r="A925" t="s">
        <v>949</v>
      </c>
      <c r="B925" t="s">
        <v>14</v>
      </c>
      <c r="C925" t="s">
        <v>16</v>
      </c>
      <c r="D925" t="s">
        <v>16</v>
      </c>
      <c r="E925" t="s">
        <v>16</v>
      </c>
      <c r="F925">
        <v>21</v>
      </c>
      <c r="G925" t="s">
        <v>22</v>
      </c>
      <c r="H925" t="s">
        <v>18</v>
      </c>
      <c r="I925" t="s">
        <v>23</v>
      </c>
      <c r="J925">
        <v>86.44</v>
      </c>
      <c r="K925">
        <v>1648.26</v>
      </c>
      <c r="L925" t="s">
        <v>16</v>
      </c>
      <c r="M925" t="str">
        <f t="shared" si="15"/>
        <v>1 to 2 years</v>
      </c>
    </row>
    <row r="926" spans="1:13">
      <c r="A926" t="s">
        <v>950</v>
      </c>
      <c r="B926" t="s">
        <v>14</v>
      </c>
      <c r="C926" t="s">
        <v>15</v>
      </c>
      <c r="D926" t="s">
        <v>15</v>
      </c>
      <c r="E926" t="s">
        <v>15</v>
      </c>
      <c r="F926">
        <v>39</v>
      </c>
      <c r="G926" t="s">
        <v>17</v>
      </c>
      <c r="H926" t="s">
        <v>18</v>
      </c>
      <c r="I926" t="s">
        <v>23</v>
      </c>
      <c r="J926">
        <v>109.86</v>
      </c>
      <c r="K926">
        <v>4391.58</v>
      </c>
      <c r="L926" t="s">
        <v>15</v>
      </c>
      <c r="M926" t="str">
        <f t="shared" si="15"/>
        <v>3 to 4 years</v>
      </c>
    </row>
    <row r="927" spans="1:13">
      <c r="A927" t="s">
        <v>951</v>
      </c>
      <c r="B927" t="s">
        <v>14</v>
      </c>
      <c r="C927" t="s">
        <v>15</v>
      </c>
      <c r="D927" t="s">
        <v>15</v>
      </c>
      <c r="E927" t="s">
        <v>15</v>
      </c>
      <c r="F927">
        <v>0</v>
      </c>
      <c r="G927" t="s">
        <v>25</v>
      </c>
      <c r="H927" t="s">
        <v>15</v>
      </c>
      <c r="I927" t="s">
        <v>36</v>
      </c>
      <c r="J927">
        <v>71.63</v>
      </c>
      <c r="K927">
        <v>35.814999999999998</v>
      </c>
      <c r="L927" t="s">
        <v>15</v>
      </c>
      <c r="M927" t="str">
        <f t="shared" si="15"/>
        <v>Just signed</v>
      </c>
    </row>
    <row r="928" spans="1:13">
      <c r="A928" t="s">
        <v>952</v>
      </c>
      <c r="B928" t="s">
        <v>14</v>
      </c>
      <c r="C928" t="s">
        <v>16</v>
      </c>
      <c r="D928" t="s">
        <v>16</v>
      </c>
      <c r="E928" t="s">
        <v>15</v>
      </c>
      <c r="F928">
        <v>64</v>
      </c>
      <c r="G928" t="s">
        <v>25</v>
      </c>
      <c r="H928" t="s">
        <v>34</v>
      </c>
      <c r="I928" t="s">
        <v>23</v>
      </c>
      <c r="J928">
        <v>42.41</v>
      </c>
      <c r="K928">
        <v>2675.17</v>
      </c>
      <c r="L928" t="s">
        <v>15</v>
      </c>
      <c r="M928" t="str">
        <f t="shared" si="15"/>
        <v>5 to 6 years</v>
      </c>
    </row>
    <row r="929" spans="1:13">
      <c r="A929" t="s">
        <v>953</v>
      </c>
      <c r="B929" t="s">
        <v>21</v>
      </c>
      <c r="C929" t="s">
        <v>15</v>
      </c>
      <c r="D929" t="s">
        <v>16</v>
      </c>
      <c r="E929" t="s">
        <v>15</v>
      </c>
      <c r="F929">
        <v>62</v>
      </c>
      <c r="G929" t="s">
        <v>17</v>
      </c>
      <c r="H929" t="s">
        <v>34</v>
      </c>
      <c r="I929" t="s">
        <v>23</v>
      </c>
      <c r="J929">
        <v>57.67</v>
      </c>
      <c r="K929">
        <v>3451.44</v>
      </c>
      <c r="L929" t="s">
        <v>15</v>
      </c>
      <c r="M929" t="str">
        <f t="shared" si="15"/>
        <v>5 to 6 years</v>
      </c>
    </row>
    <row r="930" spans="1:13">
      <c r="A930" t="s">
        <v>954</v>
      </c>
      <c r="B930" t="s">
        <v>21</v>
      </c>
      <c r="C930" t="s">
        <v>15</v>
      </c>
      <c r="D930" t="s">
        <v>16</v>
      </c>
      <c r="E930" t="s">
        <v>15</v>
      </c>
      <c r="F930">
        <v>53</v>
      </c>
      <c r="G930" t="s">
        <v>22</v>
      </c>
      <c r="H930" t="s">
        <v>18</v>
      </c>
      <c r="I930" t="s">
        <v>23</v>
      </c>
      <c r="J930">
        <v>45.48</v>
      </c>
      <c r="K930">
        <v>2447.65</v>
      </c>
      <c r="L930" t="s">
        <v>15</v>
      </c>
      <c r="M930" t="str">
        <f t="shared" si="15"/>
        <v>4 to 5 years</v>
      </c>
    </row>
    <row r="931" spans="1:13">
      <c r="A931" t="s">
        <v>955</v>
      </c>
      <c r="B931" t="s">
        <v>14</v>
      </c>
      <c r="C931" t="s">
        <v>15</v>
      </c>
      <c r="D931" t="s">
        <v>15</v>
      </c>
      <c r="E931" t="s">
        <v>15</v>
      </c>
      <c r="F931">
        <v>41</v>
      </c>
      <c r="G931" t="s">
        <v>22</v>
      </c>
      <c r="H931" t="s">
        <v>18</v>
      </c>
      <c r="I931" t="s">
        <v>26</v>
      </c>
      <c r="J931">
        <v>108.62</v>
      </c>
      <c r="K931">
        <v>4307.28</v>
      </c>
      <c r="L931" t="s">
        <v>15</v>
      </c>
      <c r="M931" t="str">
        <f t="shared" si="15"/>
        <v>3 to 4 years</v>
      </c>
    </row>
    <row r="932" spans="1:13">
      <c r="A932" t="s">
        <v>956</v>
      </c>
      <c r="B932" t="s">
        <v>14</v>
      </c>
      <c r="C932" t="s">
        <v>15</v>
      </c>
      <c r="D932" t="s">
        <v>15</v>
      </c>
      <c r="E932" t="s">
        <v>15</v>
      </c>
      <c r="F932">
        <v>20</v>
      </c>
      <c r="G932" t="s">
        <v>22</v>
      </c>
      <c r="H932" t="s">
        <v>34</v>
      </c>
      <c r="I932" t="s">
        <v>26</v>
      </c>
      <c r="J932">
        <v>20.2</v>
      </c>
      <c r="K932">
        <v>469.43</v>
      </c>
      <c r="L932" t="s">
        <v>15</v>
      </c>
      <c r="M932" t="str">
        <f t="shared" si="15"/>
        <v>1 to 2 years</v>
      </c>
    </row>
    <row r="933" spans="1:13">
      <c r="A933" t="s">
        <v>957</v>
      </c>
      <c r="B933" t="s">
        <v>21</v>
      </c>
      <c r="C933" t="s">
        <v>15</v>
      </c>
      <c r="D933" t="s">
        <v>16</v>
      </c>
      <c r="E933" t="s">
        <v>15</v>
      </c>
      <c r="F933">
        <v>21</v>
      </c>
      <c r="G933" t="s">
        <v>17</v>
      </c>
      <c r="H933" t="s">
        <v>18</v>
      </c>
      <c r="I933" t="s">
        <v>19</v>
      </c>
      <c r="J933">
        <v>47.92</v>
      </c>
      <c r="K933">
        <v>885.25</v>
      </c>
      <c r="L933" t="s">
        <v>15</v>
      </c>
      <c r="M933" t="str">
        <f t="shared" si="15"/>
        <v>1 to 2 years</v>
      </c>
    </row>
    <row r="934" spans="1:13">
      <c r="A934" t="s">
        <v>958</v>
      </c>
      <c r="B934" t="s">
        <v>14</v>
      </c>
      <c r="C934" t="s">
        <v>15</v>
      </c>
      <c r="D934" t="s">
        <v>16</v>
      </c>
      <c r="E934" t="s">
        <v>16</v>
      </c>
      <c r="F934">
        <v>37</v>
      </c>
      <c r="G934" t="s">
        <v>22</v>
      </c>
      <c r="H934" t="s">
        <v>34</v>
      </c>
      <c r="I934" t="s">
        <v>19</v>
      </c>
      <c r="J934">
        <v>57.2</v>
      </c>
      <c r="K934">
        <v>2007.94</v>
      </c>
      <c r="L934" t="s">
        <v>16</v>
      </c>
      <c r="M934" t="str">
        <f t="shared" si="15"/>
        <v>3 to 4 years</v>
      </c>
    </row>
    <row r="935" spans="1:13">
      <c r="A935" t="s">
        <v>959</v>
      </c>
      <c r="B935" t="s">
        <v>14</v>
      </c>
      <c r="C935" t="s">
        <v>15</v>
      </c>
      <c r="D935" t="s">
        <v>15</v>
      </c>
      <c r="E935" t="s">
        <v>15</v>
      </c>
      <c r="F935">
        <v>7</v>
      </c>
      <c r="G935" t="s">
        <v>25</v>
      </c>
      <c r="H935" t="s">
        <v>34</v>
      </c>
      <c r="I935" t="s">
        <v>26</v>
      </c>
      <c r="J935">
        <v>84.1</v>
      </c>
      <c r="K935">
        <v>493.4</v>
      </c>
      <c r="L935" t="s">
        <v>15</v>
      </c>
      <c r="M935" t="str">
        <f t="shared" si="15"/>
        <v>Up to 1 year</v>
      </c>
    </row>
    <row r="936" spans="1:13">
      <c r="A936" t="s">
        <v>960</v>
      </c>
      <c r="B936" t="s">
        <v>21</v>
      </c>
      <c r="C936" t="s">
        <v>16</v>
      </c>
      <c r="D936" t="s">
        <v>16</v>
      </c>
      <c r="E936" t="s">
        <v>15</v>
      </c>
      <c r="F936">
        <v>61</v>
      </c>
      <c r="G936" t="s">
        <v>22</v>
      </c>
      <c r="H936" t="s">
        <v>34</v>
      </c>
      <c r="I936" t="s">
        <v>36</v>
      </c>
      <c r="J936">
        <v>56.96</v>
      </c>
      <c r="K936">
        <v>3417.28</v>
      </c>
      <c r="L936" t="s">
        <v>15</v>
      </c>
      <c r="M936" t="str">
        <f t="shared" si="15"/>
        <v>5 to 6 years</v>
      </c>
    </row>
    <row r="937" spans="1:13">
      <c r="A937" t="s">
        <v>961</v>
      </c>
      <c r="B937" t="s">
        <v>14</v>
      </c>
      <c r="C937" t="s">
        <v>16</v>
      </c>
      <c r="D937" t="s">
        <v>15</v>
      </c>
      <c r="E937" t="s">
        <v>16</v>
      </c>
      <c r="F937">
        <v>46</v>
      </c>
      <c r="G937" t="s">
        <v>22</v>
      </c>
      <c r="H937" t="s">
        <v>18</v>
      </c>
      <c r="I937" t="s">
        <v>36</v>
      </c>
      <c r="J937">
        <v>70.87</v>
      </c>
      <c r="K937">
        <v>3335.39</v>
      </c>
      <c r="L937" t="s">
        <v>15</v>
      </c>
      <c r="M937" t="str">
        <f t="shared" si="15"/>
        <v>3 to 4 years</v>
      </c>
    </row>
    <row r="938" spans="1:13">
      <c r="A938" t="s">
        <v>962</v>
      </c>
      <c r="B938" t="s">
        <v>21</v>
      </c>
      <c r="C938" t="s">
        <v>15</v>
      </c>
      <c r="D938" t="s">
        <v>15</v>
      </c>
      <c r="E938" t="s">
        <v>15</v>
      </c>
      <c r="F938">
        <v>16</v>
      </c>
      <c r="G938" t="s">
        <v>22</v>
      </c>
      <c r="H938" t="s">
        <v>18</v>
      </c>
      <c r="I938" t="s">
        <v>36</v>
      </c>
      <c r="J938">
        <v>71.36</v>
      </c>
      <c r="K938">
        <v>1262.08</v>
      </c>
      <c r="L938" t="s">
        <v>15</v>
      </c>
      <c r="M938" t="str">
        <f t="shared" si="15"/>
        <v>1 to 2 years</v>
      </c>
    </row>
    <row r="939" spans="1:13">
      <c r="A939" t="s">
        <v>963</v>
      </c>
      <c r="B939" t="s">
        <v>14</v>
      </c>
      <c r="C939" t="s">
        <v>15</v>
      </c>
      <c r="D939" t="s">
        <v>16</v>
      </c>
      <c r="E939" t="s">
        <v>15</v>
      </c>
      <c r="F939">
        <v>16</v>
      </c>
      <c r="G939" t="s">
        <v>17</v>
      </c>
      <c r="H939" t="s">
        <v>18</v>
      </c>
      <c r="I939" t="s">
        <v>19</v>
      </c>
      <c r="J939">
        <v>84.32</v>
      </c>
      <c r="K939">
        <v>1300.1099999999999</v>
      </c>
      <c r="L939" t="s">
        <v>15</v>
      </c>
      <c r="M939" t="str">
        <f t="shared" si="15"/>
        <v>1 to 2 years</v>
      </c>
    </row>
    <row r="940" spans="1:13">
      <c r="A940" t="s">
        <v>964</v>
      </c>
      <c r="B940" t="s">
        <v>21</v>
      </c>
      <c r="C940" t="s">
        <v>15</v>
      </c>
      <c r="D940" t="s">
        <v>16</v>
      </c>
      <c r="E940" t="s">
        <v>15</v>
      </c>
      <c r="F940">
        <v>12</v>
      </c>
      <c r="G940" t="s">
        <v>22</v>
      </c>
      <c r="H940" t="s">
        <v>18</v>
      </c>
      <c r="I940" t="s">
        <v>23</v>
      </c>
      <c r="J940">
        <v>49.49</v>
      </c>
      <c r="K940">
        <v>590.15</v>
      </c>
      <c r="L940" t="s">
        <v>16</v>
      </c>
      <c r="M940" t="str">
        <f t="shared" si="15"/>
        <v>Up to 1 year</v>
      </c>
    </row>
    <row r="941" spans="1:13">
      <c r="A941" t="s">
        <v>965</v>
      </c>
      <c r="B941" t="s">
        <v>21</v>
      </c>
      <c r="C941" t="s">
        <v>15</v>
      </c>
      <c r="D941" t="s">
        <v>16</v>
      </c>
      <c r="E941" t="s">
        <v>16</v>
      </c>
      <c r="F941">
        <v>16</v>
      </c>
      <c r="G941" t="s">
        <v>22</v>
      </c>
      <c r="H941" t="s">
        <v>15</v>
      </c>
      <c r="I941" t="s">
        <v>23</v>
      </c>
      <c r="J941">
        <v>31.32</v>
      </c>
      <c r="K941">
        <v>540.30999999999995</v>
      </c>
      <c r="L941" t="s">
        <v>15</v>
      </c>
      <c r="M941" t="str">
        <f t="shared" si="15"/>
        <v>1 to 2 years</v>
      </c>
    </row>
    <row r="942" spans="1:13">
      <c r="A942" t="s">
        <v>966</v>
      </c>
      <c r="B942" t="s">
        <v>21</v>
      </c>
      <c r="C942" t="s">
        <v>15</v>
      </c>
      <c r="D942" t="s">
        <v>16</v>
      </c>
      <c r="E942" t="s">
        <v>16</v>
      </c>
      <c r="F942">
        <v>37</v>
      </c>
      <c r="G942" t="s">
        <v>22</v>
      </c>
      <c r="H942" t="s">
        <v>34</v>
      </c>
      <c r="I942" t="s">
        <v>23</v>
      </c>
      <c r="J942">
        <v>112.02</v>
      </c>
      <c r="K942">
        <v>4118.3999999999996</v>
      </c>
      <c r="L942" t="s">
        <v>15</v>
      </c>
      <c r="M942" t="str">
        <f t="shared" si="15"/>
        <v>3 to 4 years</v>
      </c>
    </row>
    <row r="943" spans="1:13">
      <c r="A943" t="s">
        <v>967</v>
      </c>
      <c r="B943" t="s">
        <v>14</v>
      </c>
      <c r="C943" t="s">
        <v>16</v>
      </c>
      <c r="D943" t="s">
        <v>15</v>
      </c>
      <c r="E943" t="s">
        <v>15</v>
      </c>
      <c r="F943">
        <v>44</v>
      </c>
      <c r="G943" t="s">
        <v>22</v>
      </c>
      <c r="H943" t="s">
        <v>34</v>
      </c>
      <c r="I943" t="s">
        <v>26</v>
      </c>
      <c r="J943">
        <v>80.06</v>
      </c>
      <c r="K943">
        <v>3558.7</v>
      </c>
      <c r="L943" t="s">
        <v>15</v>
      </c>
      <c r="M943" t="str">
        <f t="shared" si="15"/>
        <v>3 to 4 years</v>
      </c>
    </row>
    <row r="944" spans="1:13">
      <c r="A944" t="s">
        <v>968</v>
      </c>
      <c r="B944" t="s">
        <v>21</v>
      </c>
      <c r="C944" t="s">
        <v>15</v>
      </c>
      <c r="D944" t="s">
        <v>15</v>
      </c>
      <c r="E944" t="s">
        <v>16</v>
      </c>
      <c r="F944">
        <v>5</v>
      </c>
      <c r="G944" t="s">
        <v>22</v>
      </c>
      <c r="H944" t="s">
        <v>34</v>
      </c>
      <c r="I944" t="s">
        <v>36</v>
      </c>
      <c r="J944">
        <v>89.02</v>
      </c>
      <c r="K944">
        <v>444.77</v>
      </c>
      <c r="L944" t="s">
        <v>15</v>
      </c>
      <c r="M944" t="str">
        <f t="shared" si="15"/>
        <v>Up to 1 year</v>
      </c>
    </row>
    <row r="945" spans="1:13">
      <c r="A945" t="s">
        <v>969</v>
      </c>
      <c r="B945" t="s">
        <v>14</v>
      </c>
      <c r="C945" t="s">
        <v>15</v>
      </c>
      <c r="D945" t="s">
        <v>15</v>
      </c>
      <c r="E945" t="s">
        <v>15</v>
      </c>
      <c r="F945">
        <v>34</v>
      </c>
      <c r="G945" t="s">
        <v>25</v>
      </c>
      <c r="H945" t="s">
        <v>34</v>
      </c>
      <c r="I945" t="s">
        <v>19</v>
      </c>
      <c r="J945">
        <v>71.45</v>
      </c>
      <c r="K945">
        <v>2409.02</v>
      </c>
      <c r="L945" t="s">
        <v>16</v>
      </c>
      <c r="M945" t="str">
        <f t="shared" si="15"/>
        <v>2 to 3 years</v>
      </c>
    </row>
    <row r="946" spans="1:13">
      <c r="A946" t="s">
        <v>970</v>
      </c>
      <c r="B946" t="s">
        <v>14</v>
      </c>
      <c r="C946" t="s">
        <v>15</v>
      </c>
      <c r="D946" t="s">
        <v>16</v>
      </c>
      <c r="E946" t="s">
        <v>15</v>
      </c>
      <c r="F946">
        <v>13</v>
      </c>
      <c r="G946" t="s">
        <v>22</v>
      </c>
      <c r="H946" t="s">
        <v>18</v>
      </c>
      <c r="I946" t="s">
        <v>23</v>
      </c>
      <c r="J946">
        <v>76.489999999999995</v>
      </c>
      <c r="K946">
        <v>880.78</v>
      </c>
      <c r="L946" t="s">
        <v>16</v>
      </c>
      <c r="M946" t="str">
        <f t="shared" si="15"/>
        <v>1 to 2 years</v>
      </c>
    </row>
    <row r="947" spans="1:13">
      <c r="A947" t="s">
        <v>971</v>
      </c>
      <c r="B947" t="s">
        <v>14</v>
      </c>
      <c r="C947" t="s">
        <v>15</v>
      </c>
      <c r="D947" t="s">
        <v>15</v>
      </c>
      <c r="E947" t="s">
        <v>16</v>
      </c>
      <c r="F947">
        <v>71</v>
      </c>
      <c r="G947" t="s">
        <v>22</v>
      </c>
      <c r="H947" t="s">
        <v>18</v>
      </c>
      <c r="I947" t="s">
        <v>19</v>
      </c>
      <c r="J947">
        <v>91.43</v>
      </c>
      <c r="K947">
        <v>6503.45</v>
      </c>
      <c r="L947" t="s">
        <v>16</v>
      </c>
      <c r="M947" t="str">
        <f t="shared" si="15"/>
        <v>5 to 6 years</v>
      </c>
    </row>
    <row r="948" spans="1:13">
      <c r="A948" t="s">
        <v>972</v>
      </c>
      <c r="B948" t="s">
        <v>14</v>
      </c>
      <c r="C948" t="s">
        <v>15</v>
      </c>
      <c r="D948" t="s">
        <v>16</v>
      </c>
      <c r="E948" t="s">
        <v>15</v>
      </c>
      <c r="F948">
        <v>60</v>
      </c>
      <c r="G948" t="s">
        <v>25</v>
      </c>
      <c r="H948" t="s">
        <v>18</v>
      </c>
      <c r="I948" t="s">
        <v>36</v>
      </c>
      <c r="J948">
        <v>98.19</v>
      </c>
      <c r="K948">
        <v>5968.07</v>
      </c>
      <c r="L948" t="s">
        <v>15</v>
      </c>
      <c r="M948" t="str">
        <f t="shared" si="15"/>
        <v>4 to 5 years</v>
      </c>
    </row>
    <row r="949" spans="1:13">
      <c r="A949" t="s">
        <v>973</v>
      </c>
      <c r="B949" t="s">
        <v>21</v>
      </c>
      <c r="C949" t="s">
        <v>15</v>
      </c>
      <c r="D949" t="s">
        <v>16</v>
      </c>
      <c r="E949" t="s">
        <v>15</v>
      </c>
      <c r="F949">
        <v>14</v>
      </c>
      <c r="G949" t="s">
        <v>25</v>
      </c>
      <c r="H949" t="s">
        <v>34</v>
      </c>
      <c r="I949" t="s">
        <v>26</v>
      </c>
      <c r="J949">
        <v>91.15</v>
      </c>
      <c r="K949">
        <v>1213.8399999999999</v>
      </c>
      <c r="L949" t="s">
        <v>15</v>
      </c>
      <c r="M949" t="str">
        <f t="shared" si="15"/>
        <v>1 to 2 years</v>
      </c>
    </row>
    <row r="950" spans="1:13">
      <c r="A950" t="s">
        <v>974</v>
      </c>
      <c r="B950" t="s">
        <v>21</v>
      </c>
      <c r="C950" t="s">
        <v>15</v>
      </c>
      <c r="D950" t="s">
        <v>16</v>
      </c>
      <c r="E950" t="s">
        <v>15</v>
      </c>
      <c r="F950">
        <v>53</v>
      </c>
      <c r="G950" t="s">
        <v>17</v>
      </c>
      <c r="H950" t="s">
        <v>34</v>
      </c>
      <c r="I950" t="s">
        <v>36</v>
      </c>
      <c r="J950">
        <v>66.84</v>
      </c>
      <c r="K950">
        <v>3385.06</v>
      </c>
      <c r="L950" t="s">
        <v>15</v>
      </c>
      <c r="M950" t="str">
        <f t="shared" si="15"/>
        <v>4 to 5 years</v>
      </c>
    </row>
    <row r="951" spans="1:13">
      <c r="A951" t="s">
        <v>975</v>
      </c>
      <c r="B951" t="s">
        <v>14</v>
      </c>
      <c r="C951" t="s">
        <v>15</v>
      </c>
      <c r="D951" t="s">
        <v>16</v>
      </c>
      <c r="E951" t="s">
        <v>15</v>
      </c>
      <c r="F951">
        <v>26</v>
      </c>
      <c r="G951" t="s">
        <v>22</v>
      </c>
      <c r="H951" t="s">
        <v>18</v>
      </c>
      <c r="I951" t="s">
        <v>36</v>
      </c>
      <c r="J951">
        <v>103.88</v>
      </c>
      <c r="K951">
        <v>2675.32</v>
      </c>
      <c r="L951" t="s">
        <v>16</v>
      </c>
      <c r="M951" t="str">
        <f t="shared" si="15"/>
        <v>2 to 3 years</v>
      </c>
    </row>
    <row r="952" spans="1:13">
      <c r="A952" t="s">
        <v>976</v>
      </c>
      <c r="B952" t="s">
        <v>14</v>
      </c>
      <c r="C952" t="s">
        <v>15</v>
      </c>
      <c r="D952" t="s">
        <v>16</v>
      </c>
      <c r="E952" t="s">
        <v>15</v>
      </c>
      <c r="F952">
        <v>12</v>
      </c>
      <c r="G952" t="s">
        <v>25</v>
      </c>
      <c r="H952" t="s">
        <v>34</v>
      </c>
      <c r="I952" t="s">
        <v>36</v>
      </c>
      <c r="J952">
        <v>20</v>
      </c>
      <c r="K952">
        <v>360.78</v>
      </c>
      <c r="L952" t="s">
        <v>15</v>
      </c>
      <c r="M952" t="str">
        <f t="shared" si="15"/>
        <v>Up to 1 year</v>
      </c>
    </row>
    <row r="953" spans="1:13">
      <c r="A953" t="s">
        <v>977</v>
      </c>
      <c r="B953" t="s">
        <v>21</v>
      </c>
      <c r="C953" t="s">
        <v>15</v>
      </c>
      <c r="D953" t="s">
        <v>16</v>
      </c>
      <c r="E953" t="s">
        <v>15</v>
      </c>
      <c r="F953">
        <v>30</v>
      </c>
      <c r="G953" t="s">
        <v>25</v>
      </c>
      <c r="H953" t="s">
        <v>18</v>
      </c>
      <c r="I953" t="s">
        <v>26</v>
      </c>
      <c r="J953">
        <v>102.31</v>
      </c>
      <c r="K953">
        <v>3166.26</v>
      </c>
      <c r="L953" t="s">
        <v>15</v>
      </c>
      <c r="M953" t="str">
        <f t="shared" si="15"/>
        <v>2 to 3 years</v>
      </c>
    </row>
    <row r="954" spans="1:13">
      <c r="A954" t="s">
        <v>978</v>
      </c>
      <c r="B954" t="s">
        <v>14</v>
      </c>
      <c r="C954" t="s">
        <v>15</v>
      </c>
      <c r="D954" t="s">
        <v>15</v>
      </c>
      <c r="E954" t="s">
        <v>15</v>
      </c>
      <c r="F954">
        <v>34</v>
      </c>
      <c r="G954" t="s">
        <v>17</v>
      </c>
      <c r="H954" t="s">
        <v>15</v>
      </c>
      <c r="I954" t="s">
        <v>26</v>
      </c>
      <c r="J954">
        <v>44.33</v>
      </c>
      <c r="K954">
        <v>1460.78</v>
      </c>
      <c r="L954" t="s">
        <v>15</v>
      </c>
      <c r="M954" t="str">
        <f t="shared" si="15"/>
        <v>2 to 3 years</v>
      </c>
    </row>
    <row r="955" spans="1:13">
      <c r="A955" t="s">
        <v>979</v>
      </c>
      <c r="B955" t="s">
        <v>21</v>
      </c>
      <c r="C955" t="s">
        <v>15</v>
      </c>
      <c r="D955" t="s">
        <v>16</v>
      </c>
      <c r="E955" t="s">
        <v>15</v>
      </c>
      <c r="F955">
        <v>59</v>
      </c>
      <c r="G955" t="s">
        <v>22</v>
      </c>
      <c r="H955" t="s">
        <v>18</v>
      </c>
      <c r="I955" t="s">
        <v>23</v>
      </c>
      <c r="J955">
        <v>93.83</v>
      </c>
      <c r="K955">
        <v>5572.41</v>
      </c>
      <c r="L955" t="s">
        <v>15</v>
      </c>
      <c r="M955" t="str">
        <f t="shared" si="15"/>
        <v>4 to 5 years</v>
      </c>
    </row>
    <row r="956" spans="1:13">
      <c r="A956" t="s">
        <v>980</v>
      </c>
      <c r="B956" t="s">
        <v>14</v>
      </c>
      <c r="C956" t="s">
        <v>16</v>
      </c>
      <c r="D956" t="s">
        <v>15</v>
      </c>
      <c r="E956" t="s">
        <v>15</v>
      </c>
      <c r="F956">
        <v>5</v>
      </c>
      <c r="G956" t="s">
        <v>17</v>
      </c>
      <c r="H956" t="s">
        <v>18</v>
      </c>
      <c r="I956" t="s">
        <v>23</v>
      </c>
      <c r="J956">
        <v>63.77</v>
      </c>
      <c r="K956">
        <v>367.93</v>
      </c>
      <c r="L956" t="s">
        <v>15</v>
      </c>
      <c r="M956" t="str">
        <f t="shared" si="15"/>
        <v>Up to 1 year</v>
      </c>
    </row>
    <row r="957" spans="1:13">
      <c r="A957" t="s">
        <v>981</v>
      </c>
      <c r="B957" t="s">
        <v>14</v>
      </c>
      <c r="C957" t="s">
        <v>15</v>
      </c>
      <c r="D957" t="s">
        <v>15</v>
      </c>
      <c r="E957" t="s">
        <v>15</v>
      </c>
      <c r="F957">
        <v>68</v>
      </c>
      <c r="G957" t="s">
        <v>17</v>
      </c>
      <c r="H957" t="s">
        <v>18</v>
      </c>
      <c r="I957" t="s">
        <v>19</v>
      </c>
      <c r="J957">
        <v>46.83</v>
      </c>
      <c r="K957">
        <v>3303.67</v>
      </c>
      <c r="L957" t="s">
        <v>15</v>
      </c>
      <c r="M957" t="str">
        <f t="shared" si="15"/>
        <v>5 to 6 years</v>
      </c>
    </row>
    <row r="958" spans="1:13">
      <c r="A958" t="s">
        <v>982</v>
      </c>
      <c r="B958" t="s">
        <v>21</v>
      </c>
      <c r="C958" t="s">
        <v>15</v>
      </c>
      <c r="D958" t="s">
        <v>16</v>
      </c>
      <c r="E958" t="s">
        <v>15</v>
      </c>
      <c r="F958">
        <v>57</v>
      </c>
      <c r="G958" t="s">
        <v>22</v>
      </c>
      <c r="H958" t="s">
        <v>34</v>
      </c>
      <c r="I958" t="s">
        <v>23</v>
      </c>
      <c r="J958">
        <v>78.489999999999995</v>
      </c>
      <c r="K958">
        <v>4349.88</v>
      </c>
      <c r="L958" t="s">
        <v>15</v>
      </c>
      <c r="M958" t="str">
        <f t="shared" si="15"/>
        <v>4 to 5 years</v>
      </c>
    </row>
    <row r="959" spans="1:13">
      <c r="A959" t="s">
        <v>983</v>
      </c>
      <c r="B959" t="s">
        <v>14</v>
      </c>
      <c r="C959" t="s">
        <v>15</v>
      </c>
      <c r="D959" t="s">
        <v>16</v>
      </c>
      <c r="E959" t="s">
        <v>15</v>
      </c>
      <c r="F959">
        <v>48</v>
      </c>
      <c r="G959" t="s">
        <v>22</v>
      </c>
      <c r="H959" t="s">
        <v>18</v>
      </c>
      <c r="I959" t="s">
        <v>36</v>
      </c>
      <c r="J959">
        <v>42.46</v>
      </c>
      <c r="K959">
        <v>1952.57</v>
      </c>
      <c r="L959" t="s">
        <v>16</v>
      </c>
      <c r="M959" t="str">
        <f t="shared" si="15"/>
        <v>3 to 4 years</v>
      </c>
    </row>
    <row r="960" spans="1:13">
      <c r="A960" t="s">
        <v>984</v>
      </c>
      <c r="B960" t="s">
        <v>21</v>
      </c>
      <c r="C960" t="s">
        <v>15</v>
      </c>
      <c r="D960" t="s">
        <v>16</v>
      </c>
      <c r="E960" t="s">
        <v>16</v>
      </c>
      <c r="F960">
        <v>22</v>
      </c>
      <c r="G960" t="s">
        <v>25</v>
      </c>
      <c r="H960" t="s">
        <v>34</v>
      </c>
      <c r="I960" t="s">
        <v>23</v>
      </c>
      <c r="J960">
        <v>60.01</v>
      </c>
      <c r="K960">
        <v>1159.44</v>
      </c>
      <c r="L960" t="s">
        <v>15</v>
      </c>
      <c r="M960" t="str">
        <f t="shared" si="15"/>
        <v>1 to 2 years</v>
      </c>
    </row>
    <row r="961" spans="1:13">
      <c r="A961" t="s">
        <v>985</v>
      </c>
      <c r="B961" t="s">
        <v>14</v>
      </c>
      <c r="C961" t="s">
        <v>15</v>
      </c>
      <c r="D961" t="s">
        <v>15</v>
      </c>
      <c r="E961" t="s">
        <v>15</v>
      </c>
      <c r="F961">
        <v>33</v>
      </c>
      <c r="G961" t="s">
        <v>17</v>
      </c>
      <c r="H961" t="s">
        <v>34</v>
      </c>
      <c r="I961" t="s">
        <v>36</v>
      </c>
      <c r="J961">
        <v>49.69</v>
      </c>
      <c r="K961">
        <v>1585.5</v>
      </c>
      <c r="L961" t="s">
        <v>15</v>
      </c>
      <c r="M961" t="str">
        <f t="shared" si="15"/>
        <v>2 to 3 years</v>
      </c>
    </row>
    <row r="962" spans="1:13">
      <c r="A962" t="s">
        <v>986</v>
      </c>
      <c r="B962" t="s">
        <v>14</v>
      </c>
      <c r="C962" t="s">
        <v>15</v>
      </c>
      <c r="D962" t="s">
        <v>16</v>
      </c>
      <c r="E962" t="s">
        <v>16</v>
      </c>
      <c r="F962">
        <v>25</v>
      </c>
      <c r="G962" t="s">
        <v>22</v>
      </c>
      <c r="H962" t="s">
        <v>18</v>
      </c>
      <c r="I962" t="s">
        <v>19</v>
      </c>
      <c r="J962">
        <v>75.62</v>
      </c>
      <c r="K962">
        <v>1975.8</v>
      </c>
      <c r="L962" t="s">
        <v>15</v>
      </c>
      <c r="M962" t="str">
        <f t="shared" si="15"/>
        <v>2 to 3 years</v>
      </c>
    </row>
    <row r="963" spans="1:13">
      <c r="A963" t="s">
        <v>987</v>
      </c>
      <c r="B963" t="s">
        <v>14</v>
      </c>
      <c r="C963" t="s">
        <v>15</v>
      </c>
      <c r="D963" t="s">
        <v>15</v>
      </c>
      <c r="E963" t="s">
        <v>15</v>
      </c>
      <c r="F963">
        <v>46</v>
      </c>
      <c r="G963" t="s">
        <v>17</v>
      </c>
      <c r="H963" t="s">
        <v>15</v>
      </c>
      <c r="I963" t="s">
        <v>23</v>
      </c>
      <c r="J963">
        <v>74.930000000000007</v>
      </c>
      <c r="K963">
        <v>3402</v>
      </c>
      <c r="L963" t="s">
        <v>15</v>
      </c>
      <c r="M963" t="str">
        <f t="shared" ref="M963:M1001" si="16">IF(F963=0,"Just signed",IF(F963&lt;=12,"Up to 1 year",IF(F963&lt;=24,"1 to 2 years",IF(F963&lt;=36,"2 to 3 years",IF(F963&lt;=48,"3 to 4 years",IF(F963&lt;=60,"4 to 5 years","5 to 6 years"))))))</f>
        <v>3 to 4 years</v>
      </c>
    </row>
    <row r="964" spans="1:13">
      <c r="A964" t="s">
        <v>988</v>
      </c>
      <c r="B964" t="s">
        <v>21</v>
      </c>
      <c r="C964" t="s">
        <v>16</v>
      </c>
      <c r="D964" t="s">
        <v>16</v>
      </c>
      <c r="E964" t="s">
        <v>15</v>
      </c>
      <c r="F964">
        <v>4</v>
      </c>
      <c r="G964" t="s">
        <v>22</v>
      </c>
      <c r="H964" t="s">
        <v>34</v>
      </c>
      <c r="I964" t="s">
        <v>36</v>
      </c>
      <c r="J964">
        <v>57.75</v>
      </c>
      <c r="K964">
        <v>126.34</v>
      </c>
      <c r="L964" t="s">
        <v>16</v>
      </c>
      <c r="M964" t="str">
        <f t="shared" si="16"/>
        <v>Up to 1 year</v>
      </c>
    </row>
    <row r="965" spans="1:13">
      <c r="A965" t="s">
        <v>989</v>
      </c>
      <c r="B965" t="s">
        <v>14</v>
      </c>
      <c r="C965" t="s">
        <v>15</v>
      </c>
      <c r="D965" t="s">
        <v>16</v>
      </c>
      <c r="E965" t="s">
        <v>15</v>
      </c>
      <c r="F965">
        <v>19</v>
      </c>
      <c r="G965" t="s">
        <v>22</v>
      </c>
      <c r="H965" t="s">
        <v>18</v>
      </c>
      <c r="I965" t="s">
        <v>19</v>
      </c>
      <c r="J965">
        <v>87.86</v>
      </c>
      <c r="K965">
        <v>1687.47</v>
      </c>
      <c r="L965" t="s">
        <v>15</v>
      </c>
      <c r="M965" t="str">
        <f t="shared" si="16"/>
        <v>1 to 2 years</v>
      </c>
    </row>
    <row r="966" spans="1:13">
      <c r="A966" t="s">
        <v>990</v>
      </c>
      <c r="B966" t="s">
        <v>14</v>
      </c>
      <c r="C966" t="s">
        <v>15</v>
      </c>
      <c r="D966" t="s">
        <v>15</v>
      </c>
      <c r="E966" t="s">
        <v>15</v>
      </c>
      <c r="F966">
        <v>5</v>
      </c>
      <c r="G966" t="s">
        <v>17</v>
      </c>
      <c r="H966" t="s">
        <v>15</v>
      </c>
      <c r="I966" t="s">
        <v>19</v>
      </c>
      <c r="J966">
        <v>73.48</v>
      </c>
      <c r="K966">
        <v>387.59</v>
      </c>
      <c r="L966" t="s">
        <v>15</v>
      </c>
      <c r="M966" t="str">
        <f t="shared" si="16"/>
        <v>Up to 1 year</v>
      </c>
    </row>
    <row r="967" spans="1:13">
      <c r="A967" t="s">
        <v>991</v>
      </c>
      <c r="B967" t="s">
        <v>14</v>
      </c>
      <c r="C967" t="s">
        <v>16</v>
      </c>
      <c r="D967" t="s">
        <v>15</v>
      </c>
      <c r="E967" t="s">
        <v>15</v>
      </c>
      <c r="F967">
        <v>69</v>
      </c>
      <c r="G967" t="s">
        <v>22</v>
      </c>
      <c r="H967" t="s">
        <v>18</v>
      </c>
      <c r="I967" t="s">
        <v>23</v>
      </c>
      <c r="J967">
        <v>64.819999999999993</v>
      </c>
      <c r="K967">
        <v>4391.22</v>
      </c>
      <c r="L967" t="s">
        <v>15</v>
      </c>
      <c r="M967" t="str">
        <f t="shared" si="16"/>
        <v>5 to 6 years</v>
      </c>
    </row>
    <row r="968" spans="1:13">
      <c r="A968" t="s">
        <v>992</v>
      </c>
      <c r="B968" t="s">
        <v>14</v>
      </c>
      <c r="C968" t="s">
        <v>15</v>
      </c>
      <c r="D968" t="s">
        <v>16</v>
      </c>
      <c r="E968" t="s">
        <v>15</v>
      </c>
      <c r="F968">
        <v>58</v>
      </c>
      <c r="G968" t="s">
        <v>22</v>
      </c>
      <c r="H968" t="s">
        <v>18</v>
      </c>
      <c r="I968" t="s">
        <v>26</v>
      </c>
      <c r="J968">
        <v>65.180000000000007</v>
      </c>
      <c r="K968">
        <v>3739.96</v>
      </c>
      <c r="L968" t="s">
        <v>15</v>
      </c>
      <c r="M968" t="str">
        <f t="shared" si="16"/>
        <v>4 to 5 years</v>
      </c>
    </row>
    <row r="969" spans="1:13">
      <c r="A969" t="s">
        <v>993</v>
      </c>
      <c r="B969" t="s">
        <v>21</v>
      </c>
      <c r="C969" t="s">
        <v>15</v>
      </c>
      <c r="D969" t="s">
        <v>15</v>
      </c>
      <c r="E969" t="s">
        <v>15</v>
      </c>
      <c r="F969">
        <v>63</v>
      </c>
      <c r="G969" t="s">
        <v>25</v>
      </c>
      <c r="H969" t="s">
        <v>34</v>
      </c>
      <c r="I969" t="s">
        <v>23</v>
      </c>
      <c r="J969">
        <v>104.23</v>
      </c>
      <c r="K969">
        <v>6578.54</v>
      </c>
      <c r="L969" t="s">
        <v>15</v>
      </c>
      <c r="M969" t="str">
        <f t="shared" si="16"/>
        <v>5 to 6 years</v>
      </c>
    </row>
    <row r="970" spans="1:13">
      <c r="A970" t="s">
        <v>994</v>
      </c>
      <c r="B970" t="s">
        <v>21</v>
      </c>
      <c r="C970" t="s">
        <v>15</v>
      </c>
      <c r="D970" t="s">
        <v>15</v>
      </c>
      <c r="E970" t="s">
        <v>15</v>
      </c>
      <c r="F970">
        <v>17</v>
      </c>
      <c r="G970" t="s">
        <v>22</v>
      </c>
      <c r="H970" t="s">
        <v>15</v>
      </c>
      <c r="I970" t="s">
        <v>26</v>
      </c>
      <c r="J970">
        <v>53.02</v>
      </c>
      <c r="K970">
        <v>961.02</v>
      </c>
      <c r="L970" t="s">
        <v>16</v>
      </c>
      <c r="M970" t="str">
        <f t="shared" si="16"/>
        <v>1 to 2 years</v>
      </c>
    </row>
    <row r="971" spans="1:13">
      <c r="A971" t="s">
        <v>995</v>
      </c>
      <c r="B971" t="s">
        <v>14</v>
      </c>
      <c r="C971" t="s">
        <v>15</v>
      </c>
      <c r="D971" t="s">
        <v>15</v>
      </c>
      <c r="E971" t="s">
        <v>15</v>
      </c>
      <c r="F971">
        <v>3</v>
      </c>
      <c r="G971" t="s">
        <v>22</v>
      </c>
      <c r="H971" t="s">
        <v>34</v>
      </c>
      <c r="I971" t="s">
        <v>26</v>
      </c>
      <c r="J971">
        <v>82.73</v>
      </c>
      <c r="K971">
        <v>196.28</v>
      </c>
      <c r="L971" t="s">
        <v>15</v>
      </c>
      <c r="M971" t="str">
        <f t="shared" si="16"/>
        <v>Up to 1 year</v>
      </c>
    </row>
    <row r="972" spans="1:13">
      <c r="A972" t="s">
        <v>996</v>
      </c>
      <c r="B972" t="s">
        <v>21</v>
      </c>
      <c r="C972" t="s">
        <v>15</v>
      </c>
      <c r="D972" t="s">
        <v>15</v>
      </c>
      <c r="E972" t="s">
        <v>15</v>
      </c>
      <c r="F972">
        <v>16</v>
      </c>
      <c r="G972" t="s">
        <v>25</v>
      </c>
      <c r="H972" t="s">
        <v>18</v>
      </c>
      <c r="I972" t="s">
        <v>26</v>
      </c>
      <c r="J972">
        <v>92.54</v>
      </c>
      <c r="K972">
        <v>1417.2</v>
      </c>
      <c r="L972" t="s">
        <v>15</v>
      </c>
      <c r="M972" t="str">
        <f t="shared" si="16"/>
        <v>1 to 2 years</v>
      </c>
    </row>
    <row r="973" spans="1:13">
      <c r="A973" t="s">
        <v>997</v>
      </c>
      <c r="B973" t="s">
        <v>14</v>
      </c>
      <c r="C973" t="s">
        <v>15</v>
      </c>
      <c r="D973" t="s">
        <v>15</v>
      </c>
      <c r="E973" t="s">
        <v>16</v>
      </c>
      <c r="F973">
        <v>13</v>
      </c>
      <c r="G973" t="s">
        <v>17</v>
      </c>
      <c r="H973" t="s">
        <v>34</v>
      </c>
      <c r="I973" t="s">
        <v>26</v>
      </c>
      <c r="J973">
        <v>40.049999999999997</v>
      </c>
      <c r="K973">
        <v>673.65</v>
      </c>
      <c r="L973" t="s">
        <v>15</v>
      </c>
      <c r="M973" t="str">
        <f t="shared" si="16"/>
        <v>1 to 2 years</v>
      </c>
    </row>
    <row r="974" spans="1:13">
      <c r="A974" t="s">
        <v>998</v>
      </c>
      <c r="B974" t="s">
        <v>14</v>
      </c>
      <c r="C974" t="s">
        <v>15</v>
      </c>
      <c r="D974" t="s">
        <v>16</v>
      </c>
      <c r="E974" t="s">
        <v>15</v>
      </c>
      <c r="F974">
        <v>12</v>
      </c>
      <c r="G974" t="s">
        <v>17</v>
      </c>
      <c r="H974" t="s">
        <v>18</v>
      </c>
      <c r="I974" t="s">
        <v>19</v>
      </c>
      <c r="J974">
        <v>60.98</v>
      </c>
      <c r="K974">
        <v>709.84</v>
      </c>
      <c r="L974" t="s">
        <v>15</v>
      </c>
      <c r="M974" t="str">
        <f t="shared" si="16"/>
        <v>Up to 1 year</v>
      </c>
    </row>
    <row r="975" spans="1:13">
      <c r="A975" t="s">
        <v>999</v>
      </c>
      <c r="B975" t="s">
        <v>14</v>
      </c>
      <c r="C975" t="s">
        <v>15</v>
      </c>
      <c r="D975" t="s">
        <v>16</v>
      </c>
      <c r="E975" t="s">
        <v>15</v>
      </c>
      <c r="F975">
        <v>6</v>
      </c>
      <c r="G975" t="s">
        <v>25</v>
      </c>
      <c r="H975" t="s">
        <v>34</v>
      </c>
      <c r="I975" t="s">
        <v>23</v>
      </c>
      <c r="J975">
        <v>79.38</v>
      </c>
      <c r="K975">
        <v>496.23</v>
      </c>
      <c r="L975" t="s">
        <v>15</v>
      </c>
      <c r="M975" t="str">
        <f t="shared" si="16"/>
        <v>Up to 1 year</v>
      </c>
    </row>
    <row r="976" spans="1:13">
      <c r="A976" t="s">
        <v>1000</v>
      </c>
      <c r="B976" t="s">
        <v>21</v>
      </c>
      <c r="C976" t="s">
        <v>15</v>
      </c>
      <c r="D976" t="s">
        <v>15</v>
      </c>
      <c r="E976" t="s">
        <v>15</v>
      </c>
      <c r="F976">
        <v>43</v>
      </c>
      <c r="G976" t="s">
        <v>22</v>
      </c>
      <c r="H976" t="s">
        <v>18</v>
      </c>
      <c r="I976" t="s">
        <v>36</v>
      </c>
      <c r="J976">
        <v>28.32</v>
      </c>
      <c r="K976">
        <v>1269.6300000000001</v>
      </c>
      <c r="L976" t="s">
        <v>15</v>
      </c>
      <c r="M976" t="str">
        <f t="shared" si="16"/>
        <v>3 to 4 years</v>
      </c>
    </row>
    <row r="977" spans="1:13">
      <c r="A977" t="s">
        <v>1001</v>
      </c>
      <c r="B977" t="s">
        <v>21</v>
      </c>
      <c r="C977" t="s">
        <v>15</v>
      </c>
      <c r="D977" t="s">
        <v>16</v>
      </c>
      <c r="E977" t="s">
        <v>16</v>
      </c>
      <c r="F977">
        <v>14</v>
      </c>
      <c r="G977" t="s">
        <v>17</v>
      </c>
      <c r="H977" t="s">
        <v>34</v>
      </c>
      <c r="I977" t="s">
        <v>23</v>
      </c>
      <c r="J977">
        <v>64.72</v>
      </c>
      <c r="K977">
        <v>763.13</v>
      </c>
      <c r="L977" t="s">
        <v>15</v>
      </c>
      <c r="M977" t="str">
        <f t="shared" si="16"/>
        <v>1 to 2 years</v>
      </c>
    </row>
    <row r="978" spans="1:13">
      <c r="A978" t="s">
        <v>1002</v>
      </c>
      <c r="B978" t="s">
        <v>21</v>
      </c>
      <c r="C978" t="s">
        <v>15</v>
      </c>
      <c r="D978" t="s">
        <v>16</v>
      </c>
      <c r="E978" t="s">
        <v>15</v>
      </c>
      <c r="F978">
        <v>18</v>
      </c>
      <c r="G978" t="s">
        <v>22</v>
      </c>
      <c r="H978" t="s">
        <v>34</v>
      </c>
      <c r="I978" t="s">
        <v>19</v>
      </c>
      <c r="J978">
        <v>48.37</v>
      </c>
      <c r="K978">
        <v>869.18</v>
      </c>
      <c r="L978" t="s">
        <v>15</v>
      </c>
      <c r="M978" t="str">
        <f t="shared" si="16"/>
        <v>1 to 2 years</v>
      </c>
    </row>
    <row r="979" spans="1:13">
      <c r="A979" t="s">
        <v>1003</v>
      </c>
      <c r="B979" t="s">
        <v>21</v>
      </c>
      <c r="C979" t="s">
        <v>15</v>
      </c>
      <c r="D979" t="s">
        <v>15</v>
      </c>
      <c r="E979" t="s">
        <v>16</v>
      </c>
      <c r="F979">
        <v>62</v>
      </c>
      <c r="G979" t="s">
        <v>25</v>
      </c>
      <c r="H979" t="s">
        <v>18</v>
      </c>
      <c r="I979" t="s">
        <v>19</v>
      </c>
      <c r="J979">
        <v>107.76</v>
      </c>
      <c r="K979">
        <v>6549.46</v>
      </c>
      <c r="L979" t="s">
        <v>15</v>
      </c>
      <c r="M979" t="str">
        <f t="shared" si="16"/>
        <v>5 to 6 years</v>
      </c>
    </row>
    <row r="980" spans="1:13">
      <c r="A980" t="s">
        <v>1004</v>
      </c>
      <c r="B980" t="s">
        <v>21</v>
      </c>
      <c r="C980" t="s">
        <v>15</v>
      </c>
      <c r="D980" t="s">
        <v>16</v>
      </c>
      <c r="E980" t="s">
        <v>15</v>
      </c>
      <c r="F980">
        <v>34</v>
      </c>
      <c r="G980" t="s">
        <v>22</v>
      </c>
      <c r="H980" t="s">
        <v>15</v>
      </c>
      <c r="I980" t="s">
        <v>36</v>
      </c>
      <c r="J980">
        <v>63.65</v>
      </c>
      <c r="K980">
        <v>2153.64</v>
      </c>
      <c r="L980" t="s">
        <v>15</v>
      </c>
      <c r="M980" t="str">
        <f t="shared" si="16"/>
        <v>2 to 3 years</v>
      </c>
    </row>
    <row r="981" spans="1:13">
      <c r="A981" t="s">
        <v>1005</v>
      </c>
      <c r="B981" t="s">
        <v>21</v>
      </c>
      <c r="C981" t="s">
        <v>15</v>
      </c>
      <c r="D981" t="s">
        <v>15</v>
      </c>
      <c r="E981" t="s">
        <v>15</v>
      </c>
      <c r="F981">
        <v>34</v>
      </c>
      <c r="G981" t="s">
        <v>17</v>
      </c>
      <c r="H981" t="s">
        <v>15</v>
      </c>
      <c r="I981" t="s">
        <v>19</v>
      </c>
      <c r="J981">
        <v>84.78</v>
      </c>
      <c r="K981">
        <v>2992.37</v>
      </c>
      <c r="L981" t="s">
        <v>15</v>
      </c>
      <c r="M981" t="str">
        <f t="shared" si="16"/>
        <v>2 to 3 years</v>
      </c>
    </row>
    <row r="982" spans="1:13">
      <c r="A982" t="s">
        <v>1006</v>
      </c>
      <c r="B982" t="s">
        <v>21</v>
      </c>
      <c r="C982" t="s">
        <v>15</v>
      </c>
      <c r="D982" t="s">
        <v>15</v>
      </c>
      <c r="E982" t="s">
        <v>15</v>
      </c>
      <c r="F982">
        <v>18</v>
      </c>
      <c r="G982" t="s">
        <v>22</v>
      </c>
      <c r="H982" t="s">
        <v>34</v>
      </c>
      <c r="I982" t="s">
        <v>19</v>
      </c>
      <c r="J982">
        <v>69.02</v>
      </c>
      <c r="K982">
        <v>1162.48</v>
      </c>
      <c r="L982" t="s">
        <v>15</v>
      </c>
      <c r="M982" t="str">
        <f t="shared" si="16"/>
        <v>1 to 2 years</v>
      </c>
    </row>
    <row r="983" spans="1:13">
      <c r="A983" t="s">
        <v>1007</v>
      </c>
      <c r="B983" t="s">
        <v>21</v>
      </c>
      <c r="C983" t="s">
        <v>16</v>
      </c>
      <c r="D983" t="s">
        <v>16</v>
      </c>
      <c r="E983" t="s">
        <v>16</v>
      </c>
      <c r="F983">
        <v>19</v>
      </c>
      <c r="G983" t="s">
        <v>22</v>
      </c>
      <c r="H983" t="s">
        <v>18</v>
      </c>
      <c r="I983" t="s">
        <v>26</v>
      </c>
      <c r="J983">
        <v>77.150000000000006</v>
      </c>
      <c r="K983">
        <v>1332.54</v>
      </c>
      <c r="L983" t="s">
        <v>15</v>
      </c>
      <c r="M983" t="str">
        <f t="shared" si="16"/>
        <v>1 to 2 years</v>
      </c>
    </row>
    <row r="984" spans="1:13">
      <c r="A984" t="s">
        <v>1008</v>
      </c>
      <c r="B984" t="s">
        <v>21</v>
      </c>
      <c r="C984" t="s">
        <v>15</v>
      </c>
      <c r="D984" t="s">
        <v>15</v>
      </c>
      <c r="E984" t="s">
        <v>15</v>
      </c>
      <c r="F984">
        <v>34</v>
      </c>
      <c r="G984" t="s">
        <v>17</v>
      </c>
      <c r="H984" t="s">
        <v>18</v>
      </c>
      <c r="I984" t="s">
        <v>26</v>
      </c>
      <c r="J984">
        <v>72.38</v>
      </c>
      <c r="K984">
        <v>2611.9299999999998</v>
      </c>
      <c r="L984" t="s">
        <v>15</v>
      </c>
      <c r="M984" t="str">
        <f t="shared" si="16"/>
        <v>2 to 3 years</v>
      </c>
    </row>
    <row r="985" spans="1:13">
      <c r="A985" t="s">
        <v>1009</v>
      </c>
      <c r="B985" t="s">
        <v>14</v>
      </c>
      <c r="C985" t="s">
        <v>16</v>
      </c>
      <c r="D985" t="s">
        <v>15</v>
      </c>
      <c r="E985" t="s">
        <v>15</v>
      </c>
      <c r="F985">
        <v>31</v>
      </c>
      <c r="G985" t="s">
        <v>17</v>
      </c>
      <c r="H985" t="s">
        <v>34</v>
      </c>
      <c r="I985" t="s">
        <v>23</v>
      </c>
      <c r="J985">
        <v>57.42</v>
      </c>
      <c r="K985">
        <v>1688.26</v>
      </c>
      <c r="L985" t="s">
        <v>15</v>
      </c>
      <c r="M985" t="str">
        <f t="shared" si="16"/>
        <v>2 to 3 years</v>
      </c>
    </row>
    <row r="986" spans="1:13">
      <c r="A986" t="s">
        <v>1010</v>
      </c>
      <c r="B986" t="s">
        <v>21</v>
      </c>
      <c r="C986" t="s">
        <v>15</v>
      </c>
      <c r="D986" t="s">
        <v>15</v>
      </c>
      <c r="E986" t="s">
        <v>15</v>
      </c>
      <c r="F986">
        <v>47</v>
      </c>
      <c r="G986" t="s">
        <v>17</v>
      </c>
      <c r="H986" t="s">
        <v>34</v>
      </c>
      <c r="I986" t="s">
        <v>19</v>
      </c>
      <c r="J986">
        <v>137.12</v>
      </c>
      <c r="K986">
        <v>6324.75</v>
      </c>
      <c r="L986" t="s">
        <v>15</v>
      </c>
      <c r="M986" t="str">
        <f t="shared" si="16"/>
        <v>3 to 4 years</v>
      </c>
    </row>
    <row r="987" spans="1:13">
      <c r="A987" t="s">
        <v>1011</v>
      </c>
      <c r="B987" t="s">
        <v>21</v>
      </c>
      <c r="C987" t="s">
        <v>15</v>
      </c>
      <c r="D987" t="s">
        <v>15</v>
      </c>
      <c r="E987" t="s">
        <v>15</v>
      </c>
      <c r="F987">
        <v>43</v>
      </c>
      <c r="G987" t="s">
        <v>22</v>
      </c>
      <c r="H987" t="s">
        <v>18</v>
      </c>
      <c r="I987" t="s">
        <v>26</v>
      </c>
      <c r="J987">
        <v>100.18</v>
      </c>
      <c r="K987">
        <v>4437.26</v>
      </c>
      <c r="L987" t="s">
        <v>15</v>
      </c>
      <c r="M987" t="str">
        <f t="shared" si="16"/>
        <v>3 to 4 years</v>
      </c>
    </row>
    <row r="988" spans="1:13">
      <c r="A988" t="s">
        <v>1012</v>
      </c>
      <c r="B988" t="s">
        <v>21</v>
      </c>
      <c r="C988" t="s">
        <v>15</v>
      </c>
      <c r="D988" t="s">
        <v>15</v>
      </c>
      <c r="E988" t="s">
        <v>16</v>
      </c>
      <c r="F988">
        <v>23</v>
      </c>
      <c r="G988" t="s">
        <v>22</v>
      </c>
      <c r="H988" t="s">
        <v>15</v>
      </c>
      <c r="I988" t="s">
        <v>36</v>
      </c>
      <c r="J988">
        <v>28.35</v>
      </c>
      <c r="K988">
        <v>557.13</v>
      </c>
      <c r="L988" t="s">
        <v>15</v>
      </c>
      <c r="M988" t="str">
        <f t="shared" si="16"/>
        <v>1 to 2 years</v>
      </c>
    </row>
    <row r="989" spans="1:13">
      <c r="A989" t="s">
        <v>1013</v>
      </c>
      <c r="B989" t="s">
        <v>21</v>
      </c>
      <c r="C989" t="s">
        <v>15</v>
      </c>
      <c r="D989" t="s">
        <v>16</v>
      </c>
      <c r="E989" t="s">
        <v>15</v>
      </c>
      <c r="F989">
        <v>60</v>
      </c>
      <c r="G989" t="s">
        <v>17</v>
      </c>
      <c r="H989" t="s">
        <v>18</v>
      </c>
      <c r="I989" t="s">
        <v>26</v>
      </c>
      <c r="J989">
        <v>140</v>
      </c>
      <c r="K989">
        <v>8531.59</v>
      </c>
      <c r="L989" t="s">
        <v>15</v>
      </c>
      <c r="M989" t="str">
        <f t="shared" si="16"/>
        <v>4 to 5 years</v>
      </c>
    </row>
    <row r="990" spans="1:13">
      <c r="A990" t="s">
        <v>1014</v>
      </c>
      <c r="B990" t="s">
        <v>21</v>
      </c>
      <c r="C990" t="s">
        <v>15</v>
      </c>
      <c r="D990" t="s">
        <v>16</v>
      </c>
      <c r="E990" t="s">
        <v>15</v>
      </c>
      <c r="F990">
        <v>16</v>
      </c>
      <c r="G990" t="s">
        <v>25</v>
      </c>
      <c r="H990" t="s">
        <v>18</v>
      </c>
      <c r="I990" t="s">
        <v>19</v>
      </c>
      <c r="J990">
        <v>69.88</v>
      </c>
      <c r="K990">
        <v>1140.01</v>
      </c>
      <c r="L990" t="s">
        <v>15</v>
      </c>
      <c r="M990" t="str">
        <f t="shared" si="16"/>
        <v>1 to 2 years</v>
      </c>
    </row>
    <row r="991" spans="1:13">
      <c r="A991" t="s">
        <v>1015</v>
      </c>
      <c r="B991" t="s">
        <v>21</v>
      </c>
      <c r="C991" t="s">
        <v>15</v>
      </c>
      <c r="D991" t="s">
        <v>15</v>
      </c>
      <c r="E991" t="s">
        <v>15</v>
      </c>
      <c r="F991">
        <v>70</v>
      </c>
      <c r="G991" t="s">
        <v>17</v>
      </c>
      <c r="H991" t="s">
        <v>18</v>
      </c>
      <c r="I991" t="s">
        <v>23</v>
      </c>
      <c r="J991">
        <v>88.03</v>
      </c>
      <c r="K991">
        <v>6264.82</v>
      </c>
      <c r="L991" t="s">
        <v>15</v>
      </c>
      <c r="M991" t="str">
        <f t="shared" si="16"/>
        <v>5 to 6 years</v>
      </c>
    </row>
    <row r="992" spans="1:13">
      <c r="A992" t="s">
        <v>1016</v>
      </c>
      <c r="B992" t="s">
        <v>21</v>
      </c>
      <c r="C992" t="s">
        <v>15</v>
      </c>
      <c r="D992" t="s">
        <v>15</v>
      </c>
      <c r="E992" t="s">
        <v>16</v>
      </c>
      <c r="F992">
        <v>49</v>
      </c>
      <c r="G992" t="s">
        <v>25</v>
      </c>
      <c r="H992" t="s">
        <v>34</v>
      </c>
      <c r="I992" t="s">
        <v>36</v>
      </c>
      <c r="J992">
        <v>93.49</v>
      </c>
      <c r="K992">
        <v>4595.8999999999996</v>
      </c>
      <c r="L992" t="s">
        <v>15</v>
      </c>
      <c r="M992" t="str">
        <f t="shared" si="16"/>
        <v>4 to 5 years</v>
      </c>
    </row>
    <row r="993" spans="1:13">
      <c r="A993" t="s">
        <v>1017</v>
      </c>
      <c r="B993" t="s">
        <v>21</v>
      </c>
      <c r="C993" t="s">
        <v>15</v>
      </c>
      <c r="D993" t="s">
        <v>16</v>
      </c>
      <c r="E993" t="s">
        <v>15</v>
      </c>
      <c r="F993">
        <v>64</v>
      </c>
      <c r="G993" t="s">
        <v>25</v>
      </c>
      <c r="H993" t="s">
        <v>18</v>
      </c>
      <c r="I993" t="s">
        <v>36</v>
      </c>
      <c r="J993">
        <v>41.55</v>
      </c>
      <c r="K993">
        <v>2745.58</v>
      </c>
      <c r="L993" t="s">
        <v>15</v>
      </c>
      <c r="M993" t="str">
        <f t="shared" si="16"/>
        <v>5 to 6 years</v>
      </c>
    </row>
    <row r="994" spans="1:13">
      <c r="A994" t="s">
        <v>1018</v>
      </c>
      <c r="B994" t="s">
        <v>21</v>
      </c>
      <c r="C994" t="s">
        <v>15</v>
      </c>
      <c r="D994" t="s">
        <v>15</v>
      </c>
      <c r="E994" t="s">
        <v>15</v>
      </c>
      <c r="F994">
        <v>31</v>
      </c>
      <c r="G994" t="s">
        <v>17</v>
      </c>
      <c r="H994" t="s">
        <v>18</v>
      </c>
      <c r="I994" t="s">
        <v>23</v>
      </c>
      <c r="J994">
        <v>59.32</v>
      </c>
      <c r="K994">
        <v>1765.44</v>
      </c>
      <c r="L994" t="s">
        <v>15</v>
      </c>
      <c r="M994" t="str">
        <f t="shared" si="16"/>
        <v>2 to 3 years</v>
      </c>
    </row>
    <row r="995" spans="1:13">
      <c r="A995" t="s">
        <v>1019</v>
      </c>
      <c r="B995" t="s">
        <v>21</v>
      </c>
      <c r="C995" t="s">
        <v>16</v>
      </c>
      <c r="D995" t="s">
        <v>16</v>
      </c>
      <c r="E995" t="s">
        <v>15</v>
      </c>
      <c r="F995">
        <v>35</v>
      </c>
      <c r="G995" t="s">
        <v>17</v>
      </c>
      <c r="H995" t="s">
        <v>34</v>
      </c>
      <c r="I995" t="s">
        <v>23</v>
      </c>
      <c r="J995">
        <v>111.2</v>
      </c>
      <c r="K995">
        <v>3842.91</v>
      </c>
      <c r="L995" t="s">
        <v>15</v>
      </c>
      <c r="M995" t="str">
        <f t="shared" si="16"/>
        <v>2 to 3 years</v>
      </c>
    </row>
    <row r="996" spans="1:13">
      <c r="A996" t="s">
        <v>1020</v>
      </c>
      <c r="B996" t="s">
        <v>21</v>
      </c>
      <c r="C996" t="s">
        <v>15</v>
      </c>
      <c r="D996" t="s">
        <v>15</v>
      </c>
      <c r="E996" t="s">
        <v>16</v>
      </c>
      <c r="F996">
        <v>12</v>
      </c>
      <c r="G996" t="s">
        <v>25</v>
      </c>
      <c r="H996" t="s">
        <v>15</v>
      </c>
      <c r="I996" t="s">
        <v>26</v>
      </c>
      <c r="J996">
        <v>49.38</v>
      </c>
      <c r="K996">
        <v>423.32</v>
      </c>
      <c r="L996" t="s">
        <v>15</v>
      </c>
      <c r="M996" t="str">
        <f t="shared" si="16"/>
        <v>Up to 1 year</v>
      </c>
    </row>
    <row r="997" spans="1:13">
      <c r="A997" t="s">
        <v>1021</v>
      </c>
      <c r="B997" t="s">
        <v>14</v>
      </c>
      <c r="C997" t="s">
        <v>15</v>
      </c>
      <c r="D997" t="s">
        <v>15</v>
      </c>
      <c r="E997" t="s">
        <v>15</v>
      </c>
      <c r="F997">
        <v>69</v>
      </c>
      <c r="G997" t="s">
        <v>17</v>
      </c>
      <c r="H997" t="s">
        <v>34</v>
      </c>
      <c r="I997" t="s">
        <v>23</v>
      </c>
      <c r="J997">
        <v>94.97</v>
      </c>
      <c r="K997">
        <v>6630.67</v>
      </c>
      <c r="L997" t="s">
        <v>15</v>
      </c>
      <c r="M997" t="str">
        <f t="shared" si="16"/>
        <v>5 to 6 years</v>
      </c>
    </row>
    <row r="998" spans="1:13">
      <c r="A998" t="s">
        <v>1022</v>
      </c>
      <c r="B998" t="s">
        <v>14</v>
      </c>
      <c r="C998" t="s">
        <v>15</v>
      </c>
      <c r="D998" t="s">
        <v>15</v>
      </c>
      <c r="E998" t="s">
        <v>16</v>
      </c>
      <c r="F998">
        <v>57</v>
      </c>
      <c r="G998" t="s">
        <v>25</v>
      </c>
      <c r="H998" t="s">
        <v>15</v>
      </c>
      <c r="I998" t="s">
        <v>23</v>
      </c>
      <c r="J998">
        <v>43.66</v>
      </c>
      <c r="K998">
        <v>2522.19</v>
      </c>
      <c r="L998" t="s">
        <v>15</v>
      </c>
      <c r="M998" t="str">
        <f t="shared" si="16"/>
        <v>4 to 5 years</v>
      </c>
    </row>
    <row r="999" spans="1:13">
      <c r="A999" t="s">
        <v>1023</v>
      </c>
      <c r="B999" t="s">
        <v>21</v>
      </c>
      <c r="C999" t="s">
        <v>15</v>
      </c>
      <c r="D999" t="s">
        <v>15</v>
      </c>
      <c r="E999" t="s">
        <v>15</v>
      </c>
      <c r="F999">
        <v>13</v>
      </c>
      <c r="G999" t="s">
        <v>17</v>
      </c>
      <c r="H999" t="s">
        <v>18</v>
      </c>
      <c r="I999" t="s">
        <v>23</v>
      </c>
      <c r="J999">
        <v>77.62</v>
      </c>
      <c r="K999">
        <v>928.47</v>
      </c>
      <c r="L999" t="s">
        <v>16</v>
      </c>
      <c r="M999" t="str">
        <f t="shared" si="16"/>
        <v>1 to 2 years</v>
      </c>
    </row>
    <row r="1000" spans="1:13">
      <c r="A1000" t="s">
        <v>1024</v>
      </c>
      <c r="B1000" t="s">
        <v>21</v>
      </c>
      <c r="C1000" t="s">
        <v>15</v>
      </c>
      <c r="D1000" t="s">
        <v>15</v>
      </c>
      <c r="E1000" t="s">
        <v>16</v>
      </c>
      <c r="F1000">
        <v>36</v>
      </c>
      <c r="G1000" t="s">
        <v>17</v>
      </c>
      <c r="H1000" t="s">
        <v>34</v>
      </c>
      <c r="I1000" t="s">
        <v>23</v>
      </c>
      <c r="J1000">
        <v>114.63</v>
      </c>
      <c r="K1000">
        <v>3986.77</v>
      </c>
      <c r="L1000" t="s">
        <v>15</v>
      </c>
      <c r="M1000" t="str">
        <f t="shared" si="16"/>
        <v>2 to 3 years</v>
      </c>
    </row>
    <row r="1001" spans="1:13">
      <c r="A1001" t="s">
        <v>1025</v>
      </c>
      <c r="B1001" t="s">
        <v>14</v>
      </c>
      <c r="C1001" t="s">
        <v>15</v>
      </c>
      <c r="D1001" t="s">
        <v>15</v>
      </c>
      <c r="E1001" t="s">
        <v>15</v>
      </c>
      <c r="F1001">
        <v>67</v>
      </c>
      <c r="G1001" t="s">
        <v>22</v>
      </c>
      <c r="H1001" t="s">
        <v>18</v>
      </c>
      <c r="I1001" t="s">
        <v>19</v>
      </c>
      <c r="J1001">
        <v>90.94</v>
      </c>
      <c r="K1001">
        <v>6115.53</v>
      </c>
      <c r="L1001" t="s">
        <v>15</v>
      </c>
      <c r="M1001" t="str">
        <f t="shared" si="16"/>
        <v>5 to 6 years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321A-FD3C-41EB-81DF-A802743FF195}">
  <dimension ref="A1:K6"/>
  <sheetViews>
    <sheetView workbookViewId="0">
      <selection activeCell="G15" sqref="G15"/>
    </sheetView>
  </sheetViews>
  <sheetFormatPr defaultRowHeight="15"/>
  <cols>
    <col min="1" max="1" width="24" bestFit="1" customWidth="1"/>
    <col min="2" max="2" width="9.7109375" bestFit="1" customWidth="1"/>
    <col min="4" max="4" width="16.28515625" bestFit="1" customWidth="1"/>
    <col min="5" max="5" width="15.42578125" bestFit="1" customWidth="1"/>
    <col min="6" max="6" width="18.7109375" bestFit="1" customWidth="1"/>
    <col min="10" max="10" width="16.140625" bestFit="1" customWidth="1"/>
    <col min="11" max="11" width="19" bestFit="1" customWidth="1"/>
  </cols>
  <sheetData>
    <row r="1" spans="1:11">
      <c r="A1" s="2" t="s">
        <v>1026</v>
      </c>
      <c r="B1" s="3" t="s">
        <v>1027</v>
      </c>
      <c r="D1" s="3" t="s">
        <v>6</v>
      </c>
      <c r="E1" s="3" t="s">
        <v>1028</v>
      </c>
      <c r="F1" s="3" t="s">
        <v>1029</v>
      </c>
      <c r="H1" t="s">
        <v>1030</v>
      </c>
      <c r="J1" s="3" t="s">
        <v>6</v>
      </c>
      <c r="K1" s="3" t="s">
        <v>1029</v>
      </c>
    </row>
    <row r="2" spans="1:11">
      <c r="A2" t="s">
        <v>1028</v>
      </c>
      <c r="B2">
        <f>COUNTA(Customer_Data!A2:A1001)</f>
        <v>1000</v>
      </c>
      <c r="D2" t="s">
        <v>1031</v>
      </c>
      <c r="E2">
        <f>COUNTIF(Customer_Data!G:G,D2)</f>
        <v>561</v>
      </c>
      <c r="F2">
        <f>COUNTIFS(Customer_Data!G:G,D2,Customer_Data!L:L,"Yes")</f>
        <v>157</v>
      </c>
      <c r="H2" s="4">
        <f>F2/E2</f>
        <v>0.27985739750445632</v>
      </c>
      <c r="J2" t="s">
        <v>22</v>
      </c>
      <c r="K2">
        <v>157</v>
      </c>
    </row>
    <row r="3" spans="1:11">
      <c r="A3" t="s">
        <v>1029</v>
      </c>
      <c r="B3">
        <f>COUNTIF(Customer_Data!L2:L1001,"Yes")</f>
        <v>212</v>
      </c>
      <c r="D3" t="s">
        <v>17</v>
      </c>
      <c r="E3">
        <f>COUNTIF(Customer_Data!G:G,D3)</f>
        <v>242</v>
      </c>
      <c r="F3">
        <f>COUNTIFS(Customer_Data!G:G,D3,Customer_Data!L:L,"Yes")</f>
        <v>32</v>
      </c>
      <c r="H3" s="4">
        <f t="shared" ref="H3:H4" si="0">F3/E3</f>
        <v>0.13223140495867769</v>
      </c>
      <c r="J3" t="s">
        <v>17</v>
      </c>
      <c r="K3">
        <v>32</v>
      </c>
    </row>
    <row r="4" spans="1:11">
      <c r="A4" t="s">
        <v>1030</v>
      </c>
      <c r="B4" s="4">
        <f>B3/B2</f>
        <v>0.21199999999999999</v>
      </c>
      <c r="D4" t="s">
        <v>25</v>
      </c>
      <c r="E4">
        <f>COUNTIF(Customer_Data!G:G,D4)</f>
        <v>197</v>
      </c>
      <c r="F4">
        <f>COUNTIFS(Customer_Data!G:G,D4,Customer_Data!L:L,"Yes")</f>
        <v>23</v>
      </c>
      <c r="H4" s="4">
        <f t="shared" si="0"/>
        <v>0.116751269035533</v>
      </c>
      <c r="J4" t="s">
        <v>25</v>
      </c>
      <c r="K4">
        <v>23</v>
      </c>
    </row>
    <row r="5" spans="1:11">
      <c r="A5" t="s">
        <v>1032</v>
      </c>
      <c r="B5" s="5">
        <f>AVERAGE(Customer_Data!J2:J1001)</f>
        <v>73.612360000000024</v>
      </c>
    </row>
    <row r="6" spans="1:11">
      <c r="A6" t="s">
        <v>1033</v>
      </c>
      <c r="B6" s="5">
        <f>AVERAGE(Customer_Data!F2:F1001)</f>
        <v>36.969000000000001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24FF-1EF2-40C1-8882-7A93D5E25EF3}">
  <dimension ref="A1:S11"/>
  <sheetViews>
    <sheetView topLeftCell="D1" workbookViewId="0">
      <selection activeCell="K16" sqref="K16"/>
    </sheetView>
  </sheetViews>
  <sheetFormatPr defaultRowHeight="15"/>
  <cols>
    <col min="1" max="1" width="21.140625" bestFit="1" customWidth="1"/>
    <col min="2" max="2" width="9.5703125" bestFit="1" customWidth="1"/>
    <col min="3" max="3" width="4.42578125" bestFit="1" customWidth="1"/>
    <col min="4" max="4" width="11.7109375" bestFit="1" customWidth="1"/>
    <col min="5" max="5" width="21.140625" bestFit="1" customWidth="1"/>
    <col min="6" max="6" width="9.5703125" bestFit="1" customWidth="1"/>
    <col min="7" max="7" width="4.42578125" bestFit="1" customWidth="1"/>
    <col min="9" max="9" width="21.140625" bestFit="1" customWidth="1"/>
    <col min="10" max="10" width="9.5703125" bestFit="1" customWidth="1"/>
    <col min="11" max="11" width="4.140625" bestFit="1" customWidth="1"/>
    <col min="13" max="13" width="21.140625" bestFit="1" customWidth="1"/>
    <col min="14" max="14" width="9.5703125" bestFit="1" customWidth="1"/>
    <col min="15" max="15" width="4.140625" bestFit="1" customWidth="1"/>
    <col min="16" max="16" width="11.7109375" bestFit="1" customWidth="1"/>
    <col min="17" max="17" width="21.140625" customWidth="1"/>
    <col min="18" max="18" width="9.5703125" bestFit="1" customWidth="1"/>
    <col min="19" max="19" width="4.42578125" bestFit="1" customWidth="1"/>
    <col min="20" max="20" width="11.7109375" bestFit="1" customWidth="1"/>
  </cols>
  <sheetData>
    <row r="1" spans="1:19">
      <c r="A1" s="6" t="s">
        <v>1034</v>
      </c>
      <c r="B1" s="6" t="s">
        <v>11</v>
      </c>
      <c r="C1" s="7"/>
      <c r="E1" s="6" t="s">
        <v>1034</v>
      </c>
      <c r="F1" s="6" t="s">
        <v>11</v>
      </c>
      <c r="G1" s="7"/>
      <c r="I1" s="6" t="s">
        <v>1034</v>
      </c>
      <c r="J1" s="6" t="s">
        <v>11</v>
      </c>
      <c r="K1" s="7"/>
      <c r="Q1" s="6" t="s">
        <v>1034</v>
      </c>
      <c r="R1" s="6" t="s">
        <v>11</v>
      </c>
      <c r="S1" s="7"/>
    </row>
    <row r="2" spans="1:19">
      <c r="A2" s="6" t="s">
        <v>6</v>
      </c>
      <c r="B2" s="7" t="s">
        <v>15</v>
      </c>
      <c r="C2" s="7" t="s">
        <v>16</v>
      </c>
      <c r="E2" s="6" t="s">
        <v>7</v>
      </c>
      <c r="F2" s="7" t="s">
        <v>15</v>
      </c>
      <c r="G2" s="7" t="s">
        <v>16</v>
      </c>
      <c r="I2" s="6" t="s">
        <v>8</v>
      </c>
      <c r="J2" s="7" t="s">
        <v>15</v>
      </c>
      <c r="K2" s="7" t="s">
        <v>16</v>
      </c>
      <c r="Q2" s="6" t="s">
        <v>2</v>
      </c>
      <c r="R2" s="7" t="s">
        <v>15</v>
      </c>
      <c r="S2" s="7" t="s">
        <v>16</v>
      </c>
    </row>
    <row r="3" spans="1:19">
      <c r="A3" s="7" t="s">
        <v>22</v>
      </c>
      <c r="B3" s="8">
        <v>404</v>
      </c>
      <c r="C3" s="8">
        <v>157</v>
      </c>
      <c r="E3" s="7" t="s">
        <v>34</v>
      </c>
      <c r="F3" s="8">
        <v>312</v>
      </c>
      <c r="G3" s="8">
        <v>66</v>
      </c>
      <c r="I3" s="7" t="s">
        <v>26</v>
      </c>
      <c r="J3" s="8">
        <v>190</v>
      </c>
      <c r="K3" s="8">
        <v>44</v>
      </c>
      <c r="M3" s="6" t="s">
        <v>1034</v>
      </c>
      <c r="N3" s="6" t="s">
        <v>11</v>
      </c>
      <c r="O3" s="7"/>
      <c r="Q3" s="7" t="s">
        <v>15</v>
      </c>
      <c r="R3" s="8">
        <v>670</v>
      </c>
      <c r="S3" s="8">
        <v>165</v>
      </c>
    </row>
    <row r="4" spans="1:19">
      <c r="A4" s="7" t="s">
        <v>17</v>
      </c>
      <c r="B4" s="8">
        <v>210</v>
      </c>
      <c r="C4" s="8">
        <v>32</v>
      </c>
      <c r="E4" s="7" t="s">
        <v>18</v>
      </c>
      <c r="F4" s="8">
        <v>361</v>
      </c>
      <c r="G4" s="8">
        <v>123</v>
      </c>
      <c r="I4" s="7" t="s">
        <v>36</v>
      </c>
      <c r="J4" s="8">
        <v>163</v>
      </c>
      <c r="K4" s="8">
        <v>37</v>
      </c>
      <c r="M4" s="6" t="s">
        <v>12</v>
      </c>
      <c r="N4" s="7" t="s">
        <v>15</v>
      </c>
      <c r="O4" s="7" t="s">
        <v>16</v>
      </c>
      <c r="Q4" s="7" t="s">
        <v>16</v>
      </c>
      <c r="R4" s="8">
        <v>118</v>
      </c>
      <c r="S4" s="8">
        <v>47</v>
      </c>
    </row>
    <row r="5" spans="1:19">
      <c r="A5" s="7" t="s">
        <v>25</v>
      </c>
      <c r="B5" s="8">
        <v>174</v>
      </c>
      <c r="C5" s="8">
        <v>23</v>
      </c>
      <c r="E5" s="7" t="s">
        <v>15</v>
      </c>
      <c r="F5" s="8">
        <v>115</v>
      </c>
      <c r="G5" s="8">
        <v>23</v>
      </c>
      <c r="I5" s="7" t="s">
        <v>23</v>
      </c>
      <c r="J5" s="8">
        <v>258</v>
      </c>
      <c r="K5" s="8">
        <v>87</v>
      </c>
      <c r="M5" s="7" t="s">
        <v>1035</v>
      </c>
      <c r="N5" s="8">
        <v>9</v>
      </c>
      <c r="O5" s="8">
        <v>4</v>
      </c>
    </row>
    <row r="6" spans="1:19">
      <c r="I6" s="7" t="s">
        <v>19</v>
      </c>
      <c r="J6" s="8">
        <v>177</v>
      </c>
      <c r="K6" s="8">
        <v>44</v>
      </c>
      <c r="M6" s="7" t="s">
        <v>1036</v>
      </c>
      <c r="N6" s="8">
        <v>89</v>
      </c>
      <c r="O6" s="8">
        <v>66</v>
      </c>
    </row>
    <row r="7" spans="1:19">
      <c r="M7" s="7" t="s">
        <v>1037</v>
      </c>
      <c r="N7" s="8">
        <v>110</v>
      </c>
      <c r="O7" s="8">
        <v>49</v>
      </c>
    </row>
    <row r="8" spans="1:19">
      <c r="M8" s="7" t="s">
        <v>1038</v>
      </c>
      <c r="N8" s="8">
        <v>129</v>
      </c>
      <c r="O8" s="8">
        <v>25</v>
      </c>
    </row>
    <row r="9" spans="1:19">
      <c r="M9" s="7" t="s">
        <v>1039</v>
      </c>
      <c r="N9" s="8">
        <v>135</v>
      </c>
      <c r="O9" s="8">
        <v>31</v>
      </c>
    </row>
    <row r="10" spans="1:19">
      <c r="M10" s="7" t="s">
        <v>1040</v>
      </c>
      <c r="N10" s="8">
        <v>160</v>
      </c>
      <c r="O10" s="8">
        <v>28</v>
      </c>
    </row>
    <row r="11" spans="1:19">
      <c r="M11" s="7" t="s">
        <v>1041</v>
      </c>
      <c r="N11" s="8">
        <v>156</v>
      </c>
      <c r="O11" s="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A2B8-F6CB-4229-BA93-EFB525676A3C}">
  <dimension ref="A1:N36"/>
  <sheetViews>
    <sheetView tabSelected="1" workbookViewId="0">
      <selection activeCell="Q19" sqref="Q19"/>
    </sheetView>
  </sheetViews>
  <sheetFormatPr defaultRowHeight="15"/>
  <sheetData>
    <row r="1" spans="1:14" ht="23.25">
      <c r="E1" s="10" t="s">
        <v>1042</v>
      </c>
      <c r="F1" s="10"/>
      <c r="G1" s="10"/>
      <c r="H1" s="10"/>
      <c r="I1" s="10"/>
      <c r="J1" s="10"/>
      <c r="K1" s="10"/>
      <c r="L1" s="10"/>
      <c r="M1" s="10"/>
    </row>
    <row r="2" spans="1:14">
      <c r="G2" s="9"/>
    </row>
    <row r="3" spans="1:14">
      <c r="A3" s="11" t="s">
        <v>1043</v>
      </c>
      <c r="B3" s="12"/>
      <c r="D3" s="11" t="s">
        <v>1044</v>
      </c>
      <c r="E3" s="12"/>
      <c r="G3" s="11" t="s">
        <v>1045</v>
      </c>
      <c r="H3" s="12"/>
      <c r="J3" s="17" t="s">
        <v>1046</v>
      </c>
      <c r="K3" s="18"/>
      <c r="M3" s="11" t="s">
        <v>1047</v>
      </c>
      <c r="N3" s="12"/>
    </row>
    <row r="4" spans="1:14">
      <c r="A4" s="13"/>
      <c r="B4" s="14"/>
      <c r="D4" s="13"/>
      <c r="E4" s="14"/>
      <c r="G4" s="13"/>
      <c r="H4" s="14"/>
      <c r="J4" s="19"/>
      <c r="K4" s="20"/>
      <c r="M4" s="13"/>
      <c r="N4" s="14"/>
    </row>
    <row r="5" spans="1:14">
      <c r="A5" s="13"/>
      <c r="B5" s="14"/>
      <c r="D5" s="13"/>
      <c r="E5" s="14"/>
      <c r="G5" s="13"/>
      <c r="H5" s="14"/>
      <c r="J5" s="19"/>
      <c r="K5" s="20"/>
      <c r="M5" s="13"/>
      <c r="N5" s="14"/>
    </row>
    <row r="6" spans="1:14">
      <c r="A6" s="15"/>
      <c r="B6" s="16"/>
      <c r="D6" s="15"/>
      <c r="E6" s="16"/>
      <c r="G6" s="15"/>
      <c r="H6" s="16"/>
      <c r="J6" s="21"/>
      <c r="K6" s="22"/>
      <c r="M6" s="15"/>
      <c r="N6" s="16"/>
    </row>
    <row r="36" spans="14:14">
      <c r="N36" s="23"/>
    </row>
  </sheetData>
  <mergeCells count="6">
    <mergeCell ref="E1:M1"/>
    <mergeCell ref="A3:B6"/>
    <mergeCell ref="D3:E6"/>
    <mergeCell ref="G3:H6"/>
    <mergeCell ref="J3:K6"/>
    <mergeCell ref="M3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akriti sharma</cp:lastModifiedBy>
  <cp:revision/>
  <dcterms:created xsi:type="dcterms:W3CDTF">2026-09-04T05:56:24Z</dcterms:created>
  <dcterms:modified xsi:type="dcterms:W3CDTF">2026-09-23T15:31:46Z</dcterms:modified>
  <cp:category/>
  <cp:contentStatus/>
</cp:coreProperties>
</file>